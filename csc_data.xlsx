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ython_Dashboard\"/>
    </mc:Choice>
  </mc:AlternateContent>
  <bookViews>
    <workbookView xWindow="0" yWindow="0" windowWidth="20490" windowHeight="7620"/>
  </bookViews>
  <sheets>
    <sheet name="Apr-Nov 2025" sheetId="1" r:id="rId1"/>
  </sheets>
  <externalReferences>
    <externalReference r:id="rId2"/>
    <externalReference r:id="rId3"/>
  </externalReferences>
  <definedNames>
    <definedName name="_xlnm._FilterDatabase" localSheetId="0" hidden="1">'Apr-Nov 2025'!$A$6:$CF$82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E82" i="1" l="1"/>
  <c r="CD82" i="1"/>
  <c r="CB82" i="1"/>
  <c r="CA82" i="1"/>
  <c r="BY82" i="1"/>
  <c r="BX82" i="1"/>
  <c r="BV82" i="1"/>
  <c r="BU82" i="1"/>
  <c r="BS82" i="1"/>
  <c r="BR82" i="1"/>
  <c r="BP82" i="1"/>
  <c r="BO82" i="1"/>
  <c r="BM82" i="1"/>
  <c r="BL82" i="1"/>
  <c r="BJ82" i="1"/>
  <c r="BI82" i="1"/>
  <c r="BG82" i="1"/>
  <c r="BF82" i="1"/>
  <c r="BD82" i="1"/>
  <c r="BC82" i="1"/>
  <c r="BA82" i="1"/>
  <c r="AZ82" i="1"/>
  <c r="AU82" i="1"/>
  <c r="AT82" i="1"/>
  <c r="AR82" i="1"/>
  <c r="AQ82" i="1"/>
  <c r="AO82" i="1"/>
  <c r="AN82" i="1"/>
  <c r="AL82" i="1"/>
  <c r="AK82" i="1"/>
  <c r="AI82" i="1"/>
  <c r="AH82" i="1"/>
  <c r="AF82" i="1"/>
  <c r="AE82" i="1"/>
  <c r="AC82" i="1"/>
  <c r="AB82" i="1"/>
  <c r="Z82" i="1"/>
  <c r="Y82" i="1"/>
  <c r="W82" i="1"/>
  <c r="V82" i="1"/>
  <c r="T82" i="1"/>
  <c r="S82" i="1"/>
  <c r="Q82" i="1"/>
  <c r="P82" i="1"/>
  <c r="N82" i="1"/>
  <c r="M82" i="1"/>
  <c r="K82" i="1"/>
  <c r="J82" i="1"/>
  <c r="H82" i="1"/>
  <c r="G82" i="1"/>
  <c r="E82" i="1"/>
  <c r="D82" i="1"/>
  <c r="C82" i="1"/>
  <c r="B82" i="1"/>
  <c r="A82" i="1"/>
  <c r="CE81" i="1"/>
  <c r="CD81" i="1"/>
  <c r="CB81" i="1"/>
  <c r="CA81" i="1"/>
  <c r="BY81" i="1"/>
  <c r="BX81" i="1"/>
  <c r="BV81" i="1"/>
  <c r="BU81" i="1"/>
  <c r="BS81" i="1"/>
  <c r="BR81" i="1"/>
  <c r="BP81" i="1"/>
  <c r="BO81" i="1"/>
  <c r="BM81" i="1"/>
  <c r="BL81" i="1"/>
  <c r="BJ81" i="1"/>
  <c r="BI81" i="1"/>
  <c r="BG81" i="1"/>
  <c r="BF81" i="1"/>
  <c r="BD81" i="1"/>
  <c r="BC81" i="1"/>
  <c r="BA81" i="1"/>
  <c r="AZ81" i="1"/>
  <c r="AU81" i="1"/>
  <c r="AT81" i="1"/>
  <c r="AR81" i="1"/>
  <c r="AQ81" i="1"/>
  <c r="AO81" i="1"/>
  <c r="AN81" i="1"/>
  <c r="AL81" i="1"/>
  <c r="AK81" i="1"/>
  <c r="AI81" i="1"/>
  <c r="AH81" i="1"/>
  <c r="AF81" i="1"/>
  <c r="AE81" i="1"/>
  <c r="AC81" i="1"/>
  <c r="AB81" i="1"/>
  <c r="Z81" i="1"/>
  <c r="Y81" i="1"/>
  <c r="W81" i="1"/>
  <c r="V81" i="1"/>
  <c r="T81" i="1"/>
  <c r="S81" i="1"/>
  <c r="Q81" i="1"/>
  <c r="P81" i="1"/>
  <c r="N81" i="1"/>
  <c r="M81" i="1"/>
  <c r="K81" i="1"/>
  <c r="J81" i="1"/>
  <c r="H81" i="1"/>
  <c r="G81" i="1"/>
  <c r="E81" i="1"/>
  <c r="D81" i="1"/>
  <c r="C81" i="1"/>
  <c r="B81" i="1"/>
  <c r="A81" i="1"/>
  <c r="CE80" i="1"/>
  <c r="CD80" i="1"/>
  <c r="CB80" i="1"/>
  <c r="CA80" i="1"/>
  <c r="BY80" i="1"/>
  <c r="BX80" i="1"/>
  <c r="BV80" i="1"/>
  <c r="BU80" i="1"/>
  <c r="BS80" i="1"/>
  <c r="BR80" i="1"/>
  <c r="BP80" i="1"/>
  <c r="BO80" i="1"/>
  <c r="BM80" i="1"/>
  <c r="BL80" i="1"/>
  <c r="BJ80" i="1"/>
  <c r="BI80" i="1"/>
  <c r="BG80" i="1"/>
  <c r="BF80" i="1"/>
  <c r="BD80" i="1"/>
  <c r="BC80" i="1"/>
  <c r="BA80" i="1"/>
  <c r="AZ80" i="1"/>
  <c r="AU80" i="1"/>
  <c r="AT80" i="1"/>
  <c r="AR80" i="1"/>
  <c r="AQ80" i="1"/>
  <c r="AO80" i="1"/>
  <c r="AN80" i="1"/>
  <c r="AL80" i="1"/>
  <c r="AK80" i="1"/>
  <c r="AI80" i="1"/>
  <c r="AH80" i="1"/>
  <c r="AF80" i="1"/>
  <c r="AE80" i="1"/>
  <c r="AC80" i="1"/>
  <c r="AB80" i="1"/>
  <c r="Z80" i="1"/>
  <c r="Y80" i="1"/>
  <c r="W80" i="1"/>
  <c r="V80" i="1"/>
  <c r="T80" i="1"/>
  <c r="S80" i="1"/>
  <c r="Q80" i="1"/>
  <c r="P80" i="1"/>
  <c r="N80" i="1"/>
  <c r="M80" i="1"/>
  <c r="K80" i="1"/>
  <c r="J80" i="1"/>
  <c r="H80" i="1"/>
  <c r="G80" i="1"/>
  <c r="E80" i="1"/>
  <c r="D80" i="1"/>
  <c r="C80" i="1"/>
  <c r="B80" i="1"/>
  <c r="A80" i="1"/>
  <c r="CE79" i="1"/>
  <c r="CD79" i="1"/>
  <c r="CB79" i="1"/>
  <c r="CA79" i="1"/>
  <c r="BY79" i="1"/>
  <c r="BX79" i="1"/>
  <c r="BV79" i="1"/>
  <c r="BU79" i="1"/>
  <c r="BS79" i="1"/>
  <c r="BR79" i="1"/>
  <c r="BP79" i="1"/>
  <c r="BO79" i="1"/>
  <c r="BM79" i="1"/>
  <c r="BL79" i="1"/>
  <c r="BJ79" i="1"/>
  <c r="BI79" i="1"/>
  <c r="BG79" i="1"/>
  <c r="BF79" i="1"/>
  <c r="BD79" i="1"/>
  <c r="BC79" i="1"/>
  <c r="BA79" i="1"/>
  <c r="AZ79" i="1"/>
  <c r="AU79" i="1"/>
  <c r="AT79" i="1"/>
  <c r="AR79" i="1"/>
  <c r="AQ79" i="1"/>
  <c r="AO79" i="1"/>
  <c r="AN79" i="1"/>
  <c r="AL79" i="1"/>
  <c r="AK79" i="1"/>
  <c r="AI79" i="1"/>
  <c r="AH79" i="1"/>
  <c r="AF79" i="1"/>
  <c r="AE79" i="1"/>
  <c r="AC79" i="1"/>
  <c r="AB79" i="1"/>
  <c r="Z79" i="1"/>
  <c r="Y79" i="1"/>
  <c r="W79" i="1"/>
  <c r="V79" i="1"/>
  <c r="T79" i="1"/>
  <c r="S79" i="1"/>
  <c r="Q79" i="1"/>
  <c r="P79" i="1"/>
  <c r="N79" i="1"/>
  <c r="M79" i="1"/>
  <c r="K79" i="1"/>
  <c r="J79" i="1"/>
  <c r="H79" i="1"/>
  <c r="G79" i="1"/>
  <c r="E79" i="1"/>
  <c r="D79" i="1"/>
  <c r="C79" i="1"/>
  <c r="B79" i="1"/>
  <c r="A79" i="1"/>
  <c r="CE78" i="1"/>
  <c r="CD78" i="1"/>
  <c r="CB78" i="1"/>
  <c r="CA78" i="1"/>
  <c r="BY78" i="1"/>
  <c r="BX78" i="1"/>
  <c r="BV78" i="1"/>
  <c r="BU78" i="1"/>
  <c r="BS78" i="1"/>
  <c r="BR78" i="1"/>
  <c r="BP78" i="1"/>
  <c r="BO78" i="1"/>
  <c r="BM78" i="1"/>
  <c r="BL78" i="1"/>
  <c r="BJ78" i="1"/>
  <c r="BI78" i="1"/>
  <c r="BG78" i="1"/>
  <c r="BF78" i="1"/>
  <c r="BD78" i="1"/>
  <c r="BC78" i="1"/>
  <c r="BA78" i="1"/>
  <c r="AZ78" i="1"/>
  <c r="AU78" i="1"/>
  <c r="AT78" i="1"/>
  <c r="AR78" i="1"/>
  <c r="AQ78" i="1"/>
  <c r="AO78" i="1"/>
  <c r="AN78" i="1"/>
  <c r="AL78" i="1"/>
  <c r="AK78" i="1"/>
  <c r="AI78" i="1"/>
  <c r="AH78" i="1"/>
  <c r="AF78" i="1"/>
  <c r="AE78" i="1"/>
  <c r="AC78" i="1"/>
  <c r="AB78" i="1"/>
  <c r="Z78" i="1"/>
  <c r="Y78" i="1"/>
  <c r="W78" i="1"/>
  <c r="V78" i="1"/>
  <c r="T78" i="1"/>
  <c r="S78" i="1"/>
  <c r="Q78" i="1"/>
  <c r="P78" i="1"/>
  <c r="N78" i="1"/>
  <c r="M78" i="1"/>
  <c r="K78" i="1"/>
  <c r="J78" i="1"/>
  <c r="H78" i="1"/>
  <c r="G78" i="1"/>
  <c r="E78" i="1"/>
  <c r="D78" i="1"/>
  <c r="C78" i="1"/>
  <c r="B78" i="1"/>
  <c r="A78" i="1"/>
  <c r="CE77" i="1"/>
  <c r="CD77" i="1"/>
  <c r="CB77" i="1"/>
  <c r="CA77" i="1"/>
  <c r="BY77" i="1"/>
  <c r="BX77" i="1"/>
  <c r="BV77" i="1"/>
  <c r="BU77" i="1"/>
  <c r="BS77" i="1"/>
  <c r="BR77" i="1"/>
  <c r="BP77" i="1"/>
  <c r="BO77" i="1"/>
  <c r="BM77" i="1"/>
  <c r="BL77" i="1"/>
  <c r="BJ77" i="1"/>
  <c r="BI77" i="1"/>
  <c r="BG77" i="1"/>
  <c r="BF77" i="1"/>
  <c r="BD77" i="1"/>
  <c r="BC77" i="1"/>
  <c r="BA77" i="1"/>
  <c r="AZ77" i="1"/>
  <c r="AU77" i="1"/>
  <c r="AT77" i="1"/>
  <c r="AR77" i="1"/>
  <c r="AQ77" i="1"/>
  <c r="AO77" i="1"/>
  <c r="AN77" i="1"/>
  <c r="AL77" i="1"/>
  <c r="AK77" i="1"/>
  <c r="AI77" i="1"/>
  <c r="AH77" i="1"/>
  <c r="AF77" i="1"/>
  <c r="AE77" i="1"/>
  <c r="AC77" i="1"/>
  <c r="AB77" i="1"/>
  <c r="Z77" i="1"/>
  <c r="Y77" i="1"/>
  <c r="W77" i="1"/>
  <c r="V77" i="1"/>
  <c r="T77" i="1"/>
  <c r="S77" i="1"/>
  <c r="Q77" i="1"/>
  <c r="P77" i="1"/>
  <c r="N77" i="1"/>
  <c r="M77" i="1"/>
  <c r="K77" i="1"/>
  <c r="J77" i="1"/>
  <c r="H77" i="1"/>
  <c r="G77" i="1"/>
  <c r="E77" i="1"/>
  <c r="D77" i="1"/>
  <c r="C77" i="1"/>
  <c r="B77" i="1"/>
  <c r="A77" i="1"/>
  <c r="CE76" i="1"/>
  <c r="CD76" i="1"/>
  <c r="CB76" i="1"/>
  <c r="CA76" i="1"/>
  <c r="BY76" i="1"/>
  <c r="BX76" i="1"/>
  <c r="BV76" i="1"/>
  <c r="BU76" i="1"/>
  <c r="BS76" i="1"/>
  <c r="BR76" i="1"/>
  <c r="BP76" i="1"/>
  <c r="BO76" i="1"/>
  <c r="BM76" i="1"/>
  <c r="BL76" i="1"/>
  <c r="BJ76" i="1"/>
  <c r="BI76" i="1"/>
  <c r="BG76" i="1"/>
  <c r="BF76" i="1"/>
  <c r="BD76" i="1"/>
  <c r="BC76" i="1"/>
  <c r="BA76" i="1"/>
  <c r="AZ76" i="1"/>
  <c r="AU76" i="1"/>
  <c r="AT76" i="1"/>
  <c r="AR76" i="1"/>
  <c r="AQ76" i="1"/>
  <c r="AO76" i="1"/>
  <c r="AN76" i="1"/>
  <c r="AL76" i="1"/>
  <c r="AK76" i="1"/>
  <c r="AI76" i="1"/>
  <c r="AH76" i="1"/>
  <c r="AF76" i="1"/>
  <c r="AE76" i="1"/>
  <c r="AC76" i="1"/>
  <c r="AB76" i="1"/>
  <c r="Z76" i="1"/>
  <c r="Y76" i="1"/>
  <c r="W76" i="1"/>
  <c r="V76" i="1"/>
  <c r="T76" i="1"/>
  <c r="S76" i="1"/>
  <c r="Q76" i="1"/>
  <c r="P76" i="1"/>
  <c r="N76" i="1"/>
  <c r="M76" i="1"/>
  <c r="K76" i="1"/>
  <c r="J76" i="1"/>
  <c r="H76" i="1"/>
  <c r="G76" i="1"/>
  <c r="E76" i="1"/>
  <c r="D76" i="1"/>
  <c r="C76" i="1"/>
  <c r="B76" i="1"/>
  <c r="A76" i="1"/>
  <c r="CE75" i="1"/>
  <c r="CD75" i="1"/>
  <c r="CB75" i="1"/>
  <c r="CA75" i="1"/>
  <c r="BY75" i="1"/>
  <c r="BX75" i="1"/>
  <c r="BV75" i="1"/>
  <c r="BU75" i="1"/>
  <c r="BS75" i="1"/>
  <c r="BR75" i="1"/>
  <c r="BP75" i="1"/>
  <c r="BO75" i="1"/>
  <c r="BM75" i="1"/>
  <c r="BL75" i="1"/>
  <c r="BJ75" i="1"/>
  <c r="BI75" i="1"/>
  <c r="BG75" i="1"/>
  <c r="BF75" i="1"/>
  <c r="BD75" i="1"/>
  <c r="BC75" i="1"/>
  <c r="BA75" i="1"/>
  <c r="AZ75" i="1"/>
  <c r="AU75" i="1"/>
  <c r="AT75" i="1"/>
  <c r="AR75" i="1"/>
  <c r="AQ75" i="1"/>
  <c r="AO75" i="1"/>
  <c r="AN75" i="1"/>
  <c r="AL75" i="1"/>
  <c r="AK75" i="1"/>
  <c r="AI75" i="1"/>
  <c r="AH75" i="1"/>
  <c r="AF75" i="1"/>
  <c r="AE75" i="1"/>
  <c r="AC75" i="1"/>
  <c r="AB75" i="1"/>
  <c r="Z75" i="1"/>
  <c r="Y75" i="1"/>
  <c r="W75" i="1"/>
  <c r="V75" i="1"/>
  <c r="T75" i="1"/>
  <c r="S75" i="1"/>
  <c r="Q75" i="1"/>
  <c r="P75" i="1"/>
  <c r="N75" i="1"/>
  <c r="M75" i="1"/>
  <c r="K75" i="1"/>
  <c r="J75" i="1"/>
  <c r="H75" i="1"/>
  <c r="G75" i="1"/>
  <c r="E75" i="1"/>
  <c r="D75" i="1"/>
  <c r="C75" i="1"/>
  <c r="B75" i="1"/>
  <c r="A75" i="1"/>
  <c r="CE74" i="1"/>
  <c r="CD74" i="1"/>
  <c r="CB74" i="1"/>
  <c r="CA74" i="1"/>
  <c r="BY74" i="1"/>
  <c r="BX74" i="1"/>
  <c r="BV74" i="1"/>
  <c r="BU74" i="1"/>
  <c r="BS74" i="1"/>
  <c r="BR74" i="1"/>
  <c r="BP74" i="1"/>
  <c r="BO74" i="1"/>
  <c r="BM74" i="1"/>
  <c r="BL74" i="1"/>
  <c r="BJ74" i="1"/>
  <c r="BI74" i="1"/>
  <c r="BG74" i="1"/>
  <c r="BF74" i="1"/>
  <c r="BD74" i="1"/>
  <c r="BC74" i="1"/>
  <c r="BA74" i="1"/>
  <c r="AZ74" i="1"/>
  <c r="AU74" i="1"/>
  <c r="AT74" i="1"/>
  <c r="AR74" i="1"/>
  <c r="AQ74" i="1"/>
  <c r="AO74" i="1"/>
  <c r="AN74" i="1"/>
  <c r="AL74" i="1"/>
  <c r="AK74" i="1"/>
  <c r="AI74" i="1"/>
  <c r="AH74" i="1"/>
  <c r="AF74" i="1"/>
  <c r="AE74" i="1"/>
  <c r="AC74" i="1"/>
  <c r="AB74" i="1"/>
  <c r="Z74" i="1"/>
  <c r="Y74" i="1"/>
  <c r="W74" i="1"/>
  <c r="V74" i="1"/>
  <c r="T74" i="1"/>
  <c r="S74" i="1"/>
  <c r="Q74" i="1"/>
  <c r="P74" i="1"/>
  <c r="N74" i="1"/>
  <c r="M74" i="1"/>
  <c r="K74" i="1"/>
  <c r="J74" i="1"/>
  <c r="H74" i="1"/>
  <c r="G74" i="1"/>
  <c r="E74" i="1"/>
  <c r="D74" i="1"/>
  <c r="C74" i="1"/>
  <c r="B74" i="1"/>
  <c r="A74" i="1"/>
  <c r="CE73" i="1"/>
  <c r="CD73" i="1"/>
  <c r="CB73" i="1"/>
  <c r="CA73" i="1"/>
  <c r="BY73" i="1"/>
  <c r="BX73" i="1"/>
  <c r="BV73" i="1"/>
  <c r="BU73" i="1"/>
  <c r="BS73" i="1"/>
  <c r="BR73" i="1"/>
  <c r="BP73" i="1"/>
  <c r="BO73" i="1"/>
  <c r="BM73" i="1"/>
  <c r="BL73" i="1"/>
  <c r="BJ73" i="1"/>
  <c r="BI73" i="1"/>
  <c r="BG73" i="1"/>
  <c r="BF73" i="1"/>
  <c r="BD73" i="1"/>
  <c r="BC73" i="1"/>
  <c r="BA73" i="1"/>
  <c r="AZ73" i="1"/>
  <c r="AU73" i="1"/>
  <c r="AT73" i="1"/>
  <c r="AR73" i="1"/>
  <c r="AQ73" i="1"/>
  <c r="AO73" i="1"/>
  <c r="AN73" i="1"/>
  <c r="AL73" i="1"/>
  <c r="AK73" i="1"/>
  <c r="AI73" i="1"/>
  <c r="AH73" i="1"/>
  <c r="AF73" i="1"/>
  <c r="AE73" i="1"/>
  <c r="AC73" i="1"/>
  <c r="AB73" i="1"/>
  <c r="Z73" i="1"/>
  <c r="Y73" i="1"/>
  <c r="W73" i="1"/>
  <c r="V73" i="1"/>
  <c r="T73" i="1"/>
  <c r="S73" i="1"/>
  <c r="Q73" i="1"/>
  <c r="P73" i="1"/>
  <c r="N73" i="1"/>
  <c r="M73" i="1"/>
  <c r="K73" i="1"/>
  <c r="J73" i="1"/>
  <c r="H73" i="1"/>
  <c r="G73" i="1"/>
  <c r="E73" i="1"/>
  <c r="D73" i="1"/>
  <c r="C73" i="1"/>
  <c r="B73" i="1"/>
  <c r="A73" i="1"/>
  <c r="CE72" i="1"/>
  <c r="CD72" i="1"/>
  <c r="CB72" i="1"/>
  <c r="CA72" i="1"/>
  <c r="BY72" i="1"/>
  <c r="BX72" i="1"/>
  <c r="BV72" i="1"/>
  <c r="BU72" i="1"/>
  <c r="BS72" i="1"/>
  <c r="BR72" i="1"/>
  <c r="BP72" i="1"/>
  <c r="BO72" i="1"/>
  <c r="BM72" i="1"/>
  <c r="BL72" i="1"/>
  <c r="BJ72" i="1"/>
  <c r="BI72" i="1"/>
  <c r="BG72" i="1"/>
  <c r="BF72" i="1"/>
  <c r="BD72" i="1"/>
  <c r="BC72" i="1"/>
  <c r="BA72" i="1"/>
  <c r="AZ72" i="1"/>
  <c r="AU72" i="1"/>
  <c r="AT72" i="1"/>
  <c r="AR72" i="1"/>
  <c r="AQ72" i="1"/>
  <c r="AO72" i="1"/>
  <c r="AN72" i="1"/>
  <c r="AL72" i="1"/>
  <c r="AK72" i="1"/>
  <c r="AI72" i="1"/>
  <c r="AH72" i="1"/>
  <c r="AF72" i="1"/>
  <c r="AE72" i="1"/>
  <c r="AC72" i="1"/>
  <c r="AB72" i="1"/>
  <c r="Z72" i="1"/>
  <c r="Y72" i="1"/>
  <c r="W72" i="1"/>
  <c r="V72" i="1"/>
  <c r="T72" i="1"/>
  <c r="S72" i="1"/>
  <c r="Q72" i="1"/>
  <c r="P72" i="1"/>
  <c r="N72" i="1"/>
  <c r="M72" i="1"/>
  <c r="K72" i="1"/>
  <c r="J72" i="1"/>
  <c r="H72" i="1"/>
  <c r="G72" i="1"/>
  <c r="E72" i="1"/>
  <c r="D72" i="1"/>
  <c r="C72" i="1"/>
  <c r="B72" i="1"/>
  <c r="A72" i="1"/>
  <c r="CE71" i="1"/>
  <c r="CD71" i="1"/>
  <c r="CB71" i="1"/>
  <c r="CA71" i="1"/>
  <c r="BY71" i="1"/>
  <c r="BX71" i="1"/>
  <c r="BV71" i="1"/>
  <c r="BU71" i="1"/>
  <c r="BS71" i="1"/>
  <c r="BR71" i="1"/>
  <c r="BP71" i="1"/>
  <c r="BO71" i="1"/>
  <c r="BM71" i="1"/>
  <c r="BL71" i="1"/>
  <c r="BJ71" i="1"/>
  <c r="BI71" i="1"/>
  <c r="BG71" i="1"/>
  <c r="BF71" i="1"/>
  <c r="BD71" i="1"/>
  <c r="BC71" i="1"/>
  <c r="BA71" i="1"/>
  <c r="AZ71" i="1"/>
  <c r="AU71" i="1"/>
  <c r="AT71" i="1"/>
  <c r="AR71" i="1"/>
  <c r="AQ71" i="1"/>
  <c r="AO71" i="1"/>
  <c r="AN71" i="1"/>
  <c r="AL71" i="1"/>
  <c r="AK71" i="1"/>
  <c r="AI71" i="1"/>
  <c r="AH71" i="1"/>
  <c r="AF71" i="1"/>
  <c r="AE71" i="1"/>
  <c r="AC71" i="1"/>
  <c r="AB71" i="1"/>
  <c r="Z71" i="1"/>
  <c r="Y71" i="1"/>
  <c r="W71" i="1"/>
  <c r="V71" i="1"/>
  <c r="T71" i="1"/>
  <c r="S71" i="1"/>
  <c r="Q71" i="1"/>
  <c r="P71" i="1"/>
  <c r="N71" i="1"/>
  <c r="M71" i="1"/>
  <c r="K71" i="1"/>
  <c r="J71" i="1"/>
  <c r="H71" i="1"/>
  <c r="G71" i="1"/>
  <c r="E71" i="1"/>
  <c r="D71" i="1"/>
  <c r="C71" i="1"/>
  <c r="B71" i="1"/>
  <c r="A71" i="1"/>
  <c r="CE70" i="1"/>
  <c r="CD70" i="1"/>
  <c r="CB70" i="1"/>
  <c r="CA70" i="1"/>
  <c r="BY70" i="1"/>
  <c r="BX70" i="1"/>
  <c r="BV70" i="1"/>
  <c r="BU70" i="1"/>
  <c r="BS70" i="1"/>
  <c r="BR70" i="1"/>
  <c r="BP70" i="1"/>
  <c r="BO70" i="1"/>
  <c r="BM70" i="1"/>
  <c r="BL70" i="1"/>
  <c r="BJ70" i="1"/>
  <c r="BI70" i="1"/>
  <c r="BG70" i="1"/>
  <c r="BF70" i="1"/>
  <c r="BD70" i="1"/>
  <c r="BC70" i="1"/>
  <c r="BA70" i="1"/>
  <c r="AZ70" i="1"/>
  <c r="AU70" i="1"/>
  <c r="AT70" i="1"/>
  <c r="AR70" i="1"/>
  <c r="AQ70" i="1"/>
  <c r="AO70" i="1"/>
  <c r="AN70" i="1"/>
  <c r="AL70" i="1"/>
  <c r="AK70" i="1"/>
  <c r="AI70" i="1"/>
  <c r="AH70" i="1"/>
  <c r="AF70" i="1"/>
  <c r="AE70" i="1"/>
  <c r="AC70" i="1"/>
  <c r="AB70" i="1"/>
  <c r="Z70" i="1"/>
  <c r="Y70" i="1"/>
  <c r="W70" i="1"/>
  <c r="V70" i="1"/>
  <c r="T70" i="1"/>
  <c r="S70" i="1"/>
  <c r="Q70" i="1"/>
  <c r="P70" i="1"/>
  <c r="N70" i="1"/>
  <c r="M70" i="1"/>
  <c r="O70" i="1" s="1"/>
  <c r="K70" i="1"/>
  <c r="J70" i="1"/>
  <c r="H70" i="1"/>
  <c r="G70" i="1"/>
  <c r="E70" i="1"/>
  <c r="D70" i="1"/>
  <c r="C70" i="1"/>
  <c r="B70" i="1"/>
  <c r="A70" i="1"/>
  <c r="CE69" i="1"/>
  <c r="CD69" i="1"/>
  <c r="CB69" i="1"/>
  <c r="CA69" i="1"/>
  <c r="BY69" i="1"/>
  <c r="BX69" i="1"/>
  <c r="BV69" i="1"/>
  <c r="BU69" i="1"/>
  <c r="BS69" i="1"/>
  <c r="BR69" i="1"/>
  <c r="BP69" i="1"/>
  <c r="BO69" i="1"/>
  <c r="BM69" i="1"/>
  <c r="BL69" i="1"/>
  <c r="BJ69" i="1"/>
  <c r="BI69" i="1"/>
  <c r="BG69" i="1"/>
  <c r="BF69" i="1"/>
  <c r="BD69" i="1"/>
  <c r="BC69" i="1"/>
  <c r="BA69" i="1"/>
  <c r="AZ69" i="1"/>
  <c r="AU69" i="1"/>
  <c r="AT69" i="1"/>
  <c r="AR69" i="1"/>
  <c r="AQ69" i="1"/>
  <c r="AO69" i="1"/>
  <c r="AN69" i="1"/>
  <c r="AL69" i="1"/>
  <c r="AK69" i="1"/>
  <c r="AI69" i="1"/>
  <c r="AH69" i="1"/>
  <c r="AF69" i="1"/>
  <c r="AE69" i="1"/>
  <c r="AC69" i="1"/>
  <c r="AB69" i="1"/>
  <c r="Z69" i="1"/>
  <c r="Y69" i="1"/>
  <c r="W69" i="1"/>
  <c r="V69" i="1"/>
  <c r="T69" i="1"/>
  <c r="S69" i="1"/>
  <c r="Q69" i="1"/>
  <c r="P69" i="1"/>
  <c r="N69" i="1"/>
  <c r="M69" i="1"/>
  <c r="K69" i="1"/>
  <c r="J69" i="1"/>
  <c r="H69" i="1"/>
  <c r="G69" i="1"/>
  <c r="E69" i="1"/>
  <c r="D69" i="1"/>
  <c r="C69" i="1"/>
  <c r="B69" i="1"/>
  <c r="A69" i="1"/>
  <c r="CE68" i="1"/>
  <c r="CD68" i="1"/>
  <c r="CB68" i="1"/>
  <c r="CA68" i="1"/>
  <c r="BY68" i="1"/>
  <c r="BX68" i="1"/>
  <c r="BV68" i="1"/>
  <c r="BU68" i="1"/>
  <c r="BS68" i="1"/>
  <c r="BR68" i="1"/>
  <c r="BP68" i="1"/>
  <c r="BO68" i="1"/>
  <c r="BM68" i="1"/>
  <c r="BL68" i="1"/>
  <c r="BJ68" i="1"/>
  <c r="BI68" i="1"/>
  <c r="BG68" i="1"/>
  <c r="BF68" i="1"/>
  <c r="BD68" i="1"/>
  <c r="BC68" i="1"/>
  <c r="BA68" i="1"/>
  <c r="AZ68" i="1"/>
  <c r="AU68" i="1"/>
  <c r="AT68" i="1"/>
  <c r="AR68" i="1"/>
  <c r="AQ68" i="1"/>
  <c r="AO68" i="1"/>
  <c r="AN68" i="1"/>
  <c r="AL68" i="1"/>
  <c r="AK68" i="1"/>
  <c r="AI68" i="1"/>
  <c r="AH68" i="1"/>
  <c r="AF68" i="1"/>
  <c r="AE68" i="1"/>
  <c r="AC68" i="1"/>
  <c r="AB68" i="1"/>
  <c r="Z68" i="1"/>
  <c r="Y68" i="1"/>
  <c r="W68" i="1"/>
  <c r="V68" i="1"/>
  <c r="T68" i="1"/>
  <c r="S68" i="1"/>
  <c r="Q68" i="1"/>
  <c r="P68" i="1"/>
  <c r="N68" i="1"/>
  <c r="M68" i="1"/>
  <c r="K68" i="1"/>
  <c r="J68" i="1"/>
  <c r="H68" i="1"/>
  <c r="G68" i="1"/>
  <c r="E68" i="1"/>
  <c r="D68" i="1"/>
  <c r="C68" i="1"/>
  <c r="B68" i="1"/>
  <c r="A68" i="1"/>
  <c r="CE67" i="1"/>
  <c r="CD67" i="1"/>
  <c r="CB67" i="1"/>
  <c r="CA67" i="1"/>
  <c r="BY67" i="1"/>
  <c r="BX67" i="1"/>
  <c r="BV67" i="1"/>
  <c r="BU67" i="1"/>
  <c r="BS67" i="1"/>
  <c r="BR67" i="1"/>
  <c r="BP67" i="1"/>
  <c r="BO67" i="1"/>
  <c r="BM67" i="1"/>
  <c r="BL67" i="1"/>
  <c r="BJ67" i="1"/>
  <c r="BI67" i="1"/>
  <c r="BG67" i="1"/>
  <c r="BF67" i="1"/>
  <c r="BD67" i="1"/>
  <c r="BC67" i="1"/>
  <c r="BA67" i="1"/>
  <c r="AZ67" i="1"/>
  <c r="AU67" i="1"/>
  <c r="AT67" i="1"/>
  <c r="AR67" i="1"/>
  <c r="AQ67" i="1"/>
  <c r="AO67" i="1"/>
  <c r="AN67" i="1"/>
  <c r="AL67" i="1"/>
  <c r="AK67" i="1"/>
  <c r="AI67" i="1"/>
  <c r="AH67" i="1"/>
  <c r="AF67" i="1"/>
  <c r="AE67" i="1"/>
  <c r="AC67" i="1"/>
  <c r="AB67" i="1"/>
  <c r="Z67" i="1"/>
  <c r="Y67" i="1"/>
  <c r="W67" i="1"/>
  <c r="V67" i="1"/>
  <c r="T67" i="1"/>
  <c r="S67" i="1"/>
  <c r="Q67" i="1"/>
  <c r="P67" i="1"/>
  <c r="N67" i="1"/>
  <c r="M67" i="1"/>
  <c r="K67" i="1"/>
  <c r="J67" i="1"/>
  <c r="H67" i="1"/>
  <c r="G67" i="1"/>
  <c r="E67" i="1"/>
  <c r="D67" i="1"/>
  <c r="C67" i="1"/>
  <c r="B67" i="1"/>
  <c r="A67" i="1"/>
  <c r="CE66" i="1"/>
  <c r="CD66" i="1"/>
  <c r="CB66" i="1"/>
  <c r="CA66" i="1"/>
  <c r="BY66" i="1"/>
  <c r="BX66" i="1"/>
  <c r="BV66" i="1"/>
  <c r="BU66" i="1"/>
  <c r="BS66" i="1"/>
  <c r="BR66" i="1"/>
  <c r="BP66" i="1"/>
  <c r="BO66" i="1"/>
  <c r="BM66" i="1"/>
  <c r="BL66" i="1"/>
  <c r="BJ66" i="1"/>
  <c r="BI66" i="1"/>
  <c r="BG66" i="1"/>
  <c r="BF66" i="1"/>
  <c r="BD66" i="1"/>
  <c r="BC66" i="1"/>
  <c r="BA66" i="1"/>
  <c r="AZ66" i="1"/>
  <c r="AU66" i="1"/>
  <c r="AT66" i="1"/>
  <c r="AR66" i="1"/>
  <c r="AQ66" i="1"/>
  <c r="AO66" i="1"/>
  <c r="AN66" i="1"/>
  <c r="AL66" i="1"/>
  <c r="AK66" i="1"/>
  <c r="AI66" i="1"/>
  <c r="AH66" i="1"/>
  <c r="AF66" i="1"/>
  <c r="AE66" i="1"/>
  <c r="AC66" i="1"/>
  <c r="AB66" i="1"/>
  <c r="Z66" i="1"/>
  <c r="Y66" i="1"/>
  <c r="W66" i="1"/>
  <c r="V66" i="1"/>
  <c r="T66" i="1"/>
  <c r="S66" i="1"/>
  <c r="Q66" i="1"/>
  <c r="P66" i="1"/>
  <c r="N66" i="1"/>
  <c r="M66" i="1"/>
  <c r="K66" i="1"/>
  <c r="J66" i="1"/>
  <c r="H66" i="1"/>
  <c r="G66" i="1"/>
  <c r="E66" i="1"/>
  <c r="D66" i="1"/>
  <c r="C66" i="1"/>
  <c r="B66" i="1"/>
  <c r="A66" i="1"/>
  <c r="CE65" i="1"/>
  <c r="CD65" i="1"/>
  <c r="CB65" i="1"/>
  <c r="CA65" i="1"/>
  <c r="BY65" i="1"/>
  <c r="BX65" i="1"/>
  <c r="BV65" i="1"/>
  <c r="BU65" i="1"/>
  <c r="BS65" i="1"/>
  <c r="BR65" i="1"/>
  <c r="BP65" i="1"/>
  <c r="BO65" i="1"/>
  <c r="BM65" i="1"/>
  <c r="BL65" i="1"/>
  <c r="BJ65" i="1"/>
  <c r="BI65" i="1"/>
  <c r="BG65" i="1"/>
  <c r="BF65" i="1"/>
  <c r="BD65" i="1"/>
  <c r="BC65" i="1"/>
  <c r="BA65" i="1"/>
  <c r="AZ65" i="1"/>
  <c r="AU65" i="1"/>
  <c r="AT65" i="1"/>
  <c r="AR65" i="1"/>
  <c r="AQ65" i="1"/>
  <c r="AO65" i="1"/>
  <c r="AN65" i="1"/>
  <c r="AL65" i="1"/>
  <c r="AK65" i="1"/>
  <c r="AI65" i="1"/>
  <c r="AH65" i="1"/>
  <c r="AF65" i="1"/>
  <c r="AE65" i="1"/>
  <c r="AC65" i="1"/>
  <c r="AB65" i="1"/>
  <c r="Z65" i="1"/>
  <c r="Y65" i="1"/>
  <c r="W65" i="1"/>
  <c r="V65" i="1"/>
  <c r="T65" i="1"/>
  <c r="S65" i="1"/>
  <c r="Q65" i="1"/>
  <c r="P65" i="1"/>
  <c r="N65" i="1"/>
  <c r="M65" i="1"/>
  <c r="K65" i="1"/>
  <c r="J65" i="1"/>
  <c r="H65" i="1"/>
  <c r="G65" i="1"/>
  <c r="E65" i="1"/>
  <c r="D65" i="1"/>
  <c r="C65" i="1"/>
  <c r="B65" i="1"/>
  <c r="A65" i="1"/>
  <c r="CE64" i="1"/>
  <c r="CD64" i="1"/>
  <c r="CB64" i="1"/>
  <c r="CA64" i="1"/>
  <c r="BY64" i="1"/>
  <c r="BX64" i="1"/>
  <c r="BV64" i="1"/>
  <c r="BU64" i="1"/>
  <c r="BS64" i="1"/>
  <c r="BR64" i="1"/>
  <c r="BP64" i="1"/>
  <c r="BO64" i="1"/>
  <c r="BM64" i="1"/>
  <c r="BL64" i="1"/>
  <c r="BJ64" i="1"/>
  <c r="BI64" i="1"/>
  <c r="BG64" i="1"/>
  <c r="BF64" i="1"/>
  <c r="BD64" i="1"/>
  <c r="BC64" i="1"/>
  <c r="BA64" i="1"/>
  <c r="AZ64" i="1"/>
  <c r="AU64" i="1"/>
  <c r="AT64" i="1"/>
  <c r="AR64" i="1"/>
  <c r="AQ64" i="1"/>
  <c r="AO64" i="1"/>
  <c r="AN64" i="1"/>
  <c r="AL64" i="1"/>
  <c r="AK64" i="1"/>
  <c r="AI64" i="1"/>
  <c r="AH64" i="1"/>
  <c r="AF64" i="1"/>
  <c r="AE64" i="1"/>
  <c r="AC64" i="1"/>
  <c r="AB64" i="1"/>
  <c r="Z64" i="1"/>
  <c r="Y64" i="1"/>
  <c r="W64" i="1"/>
  <c r="V64" i="1"/>
  <c r="T64" i="1"/>
  <c r="S64" i="1"/>
  <c r="Q64" i="1"/>
  <c r="P64" i="1"/>
  <c r="N64" i="1"/>
  <c r="M64" i="1"/>
  <c r="K64" i="1"/>
  <c r="J64" i="1"/>
  <c r="H64" i="1"/>
  <c r="G64" i="1"/>
  <c r="E64" i="1"/>
  <c r="D64" i="1"/>
  <c r="C64" i="1"/>
  <c r="B64" i="1"/>
  <c r="A64" i="1"/>
  <c r="CE63" i="1"/>
  <c r="CD63" i="1"/>
  <c r="CB63" i="1"/>
  <c r="CA63" i="1"/>
  <c r="BY63" i="1"/>
  <c r="BX63" i="1"/>
  <c r="BV63" i="1"/>
  <c r="BU63" i="1"/>
  <c r="BS63" i="1"/>
  <c r="BR63" i="1"/>
  <c r="BP63" i="1"/>
  <c r="BO63" i="1"/>
  <c r="BM63" i="1"/>
  <c r="BL63" i="1"/>
  <c r="BJ63" i="1"/>
  <c r="BI63" i="1"/>
  <c r="BG63" i="1"/>
  <c r="BF63" i="1"/>
  <c r="BD63" i="1"/>
  <c r="BC63" i="1"/>
  <c r="BA63" i="1"/>
  <c r="AZ63" i="1"/>
  <c r="AU63" i="1"/>
  <c r="AT63" i="1"/>
  <c r="AR63" i="1"/>
  <c r="AQ63" i="1"/>
  <c r="AO63" i="1"/>
  <c r="AN63" i="1"/>
  <c r="AL63" i="1"/>
  <c r="AK63" i="1"/>
  <c r="AI63" i="1"/>
  <c r="AH63" i="1"/>
  <c r="AF63" i="1"/>
  <c r="AE63" i="1"/>
  <c r="AC63" i="1"/>
  <c r="AB63" i="1"/>
  <c r="Z63" i="1"/>
  <c r="Y63" i="1"/>
  <c r="W63" i="1"/>
  <c r="V63" i="1"/>
  <c r="T63" i="1"/>
  <c r="S63" i="1"/>
  <c r="Q63" i="1"/>
  <c r="P63" i="1"/>
  <c r="N63" i="1"/>
  <c r="M63" i="1"/>
  <c r="K63" i="1"/>
  <c r="J63" i="1"/>
  <c r="H63" i="1"/>
  <c r="G63" i="1"/>
  <c r="E63" i="1"/>
  <c r="D63" i="1"/>
  <c r="C63" i="1"/>
  <c r="B63" i="1"/>
  <c r="A63" i="1"/>
  <c r="CE62" i="1"/>
  <c r="CD62" i="1"/>
  <c r="CB62" i="1"/>
  <c r="CA62" i="1"/>
  <c r="BY62" i="1"/>
  <c r="BX62" i="1"/>
  <c r="BV62" i="1"/>
  <c r="BU62" i="1"/>
  <c r="BS62" i="1"/>
  <c r="BR62" i="1"/>
  <c r="BP62" i="1"/>
  <c r="BO62" i="1"/>
  <c r="BM62" i="1"/>
  <c r="BL62" i="1"/>
  <c r="BJ62" i="1"/>
  <c r="BI62" i="1"/>
  <c r="BG62" i="1"/>
  <c r="BF62" i="1"/>
  <c r="BD62" i="1"/>
  <c r="BC62" i="1"/>
  <c r="BA62" i="1"/>
  <c r="AZ62" i="1"/>
  <c r="AU62" i="1"/>
  <c r="AT62" i="1"/>
  <c r="AR62" i="1"/>
  <c r="AQ62" i="1"/>
  <c r="AO62" i="1"/>
  <c r="AN62" i="1"/>
  <c r="AL62" i="1"/>
  <c r="AK62" i="1"/>
  <c r="AI62" i="1"/>
  <c r="AH62" i="1"/>
  <c r="AF62" i="1"/>
  <c r="AE62" i="1"/>
  <c r="AC62" i="1"/>
  <c r="AB62" i="1"/>
  <c r="Z62" i="1"/>
  <c r="Y62" i="1"/>
  <c r="W62" i="1"/>
  <c r="V62" i="1"/>
  <c r="T62" i="1"/>
  <c r="S62" i="1"/>
  <c r="Q62" i="1"/>
  <c r="P62" i="1"/>
  <c r="N62" i="1"/>
  <c r="M62" i="1"/>
  <c r="K62" i="1"/>
  <c r="J62" i="1"/>
  <c r="H62" i="1"/>
  <c r="G62" i="1"/>
  <c r="E62" i="1"/>
  <c r="D62" i="1"/>
  <c r="C62" i="1"/>
  <c r="B62" i="1"/>
  <c r="A62" i="1"/>
  <c r="CE61" i="1"/>
  <c r="CD61" i="1"/>
  <c r="CB61" i="1"/>
  <c r="CA61" i="1"/>
  <c r="BY61" i="1"/>
  <c r="BX61" i="1"/>
  <c r="BV61" i="1"/>
  <c r="BU61" i="1"/>
  <c r="BS61" i="1"/>
  <c r="BR61" i="1"/>
  <c r="BP61" i="1"/>
  <c r="BO61" i="1"/>
  <c r="BM61" i="1"/>
  <c r="BL61" i="1"/>
  <c r="BJ61" i="1"/>
  <c r="BI61" i="1"/>
  <c r="BG61" i="1"/>
  <c r="BF61" i="1"/>
  <c r="BD61" i="1"/>
  <c r="BC61" i="1"/>
  <c r="BA61" i="1"/>
  <c r="AZ61" i="1"/>
  <c r="AU61" i="1"/>
  <c r="AT61" i="1"/>
  <c r="AR61" i="1"/>
  <c r="AQ61" i="1"/>
  <c r="AO61" i="1"/>
  <c r="AN61" i="1"/>
  <c r="AL61" i="1"/>
  <c r="AK61" i="1"/>
  <c r="AI61" i="1"/>
  <c r="AH61" i="1"/>
  <c r="AF61" i="1"/>
  <c r="AE61" i="1"/>
  <c r="AC61" i="1"/>
  <c r="AB61" i="1"/>
  <c r="Z61" i="1"/>
  <c r="Y61" i="1"/>
  <c r="W61" i="1"/>
  <c r="V61" i="1"/>
  <c r="T61" i="1"/>
  <c r="S61" i="1"/>
  <c r="Q61" i="1"/>
  <c r="P61" i="1"/>
  <c r="N61" i="1"/>
  <c r="M61" i="1"/>
  <c r="K61" i="1"/>
  <c r="J61" i="1"/>
  <c r="H61" i="1"/>
  <c r="G61" i="1"/>
  <c r="E61" i="1"/>
  <c r="D61" i="1"/>
  <c r="C61" i="1"/>
  <c r="B61" i="1"/>
  <c r="A61" i="1"/>
  <c r="CE60" i="1"/>
  <c r="CD60" i="1"/>
  <c r="CB60" i="1"/>
  <c r="CA60" i="1"/>
  <c r="BY60" i="1"/>
  <c r="BX60" i="1"/>
  <c r="BV60" i="1"/>
  <c r="BU60" i="1"/>
  <c r="BS60" i="1"/>
  <c r="BR60" i="1"/>
  <c r="BP60" i="1"/>
  <c r="BO60" i="1"/>
  <c r="BM60" i="1"/>
  <c r="BL60" i="1"/>
  <c r="BJ60" i="1"/>
  <c r="BI60" i="1"/>
  <c r="BG60" i="1"/>
  <c r="BF60" i="1"/>
  <c r="BD60" i="1"/>
  <c r="BC60" i="1"/>
  <c r="BA60" i="1"/>
  <c r="AZ60" i="1"/>
  <c r="AU60" i="1"/>
  <c r="AT60" i="1"/>
  <c r="AR60" i="1"/>
  <c r="AQ60" i="1"/>
  <c r="AO60" i="1"/>
  <c r="AN60" i="1"/>
  <c r="AL60" i="1"/>
  <c r="AK60" i="1"/>
  <c r="AI60" i="1"/>
  <c r="AH60" i="1"/>
  <c r="AF60" i="1"/>
  <c r="AE60" i="1"/>
  <c r="AC60" i="1"/>
  <c r="AB60" i="1"/>
  <c r="Z60" i="1"/>
  <c r="Y60" i="1"/>
  <c r="W60" i="1"/>
  <c r="V60" i="1"/>
  <c r="T60" i="1"/>
  <c r="S60" i="1"/>
  <c r="Q60" i="1"/>
  <c r="P60" i="1"/>
  <c r="N60" i="1"/>
  <c r="M60" i="1"/>
  <c r="K60" i="1"/>
  <c r="J60" i="1"/>
  <c r="H60" i="1"/>
  <c r="G60" i="1"/>
  <c r="E60" i="1"/>
  <c r="D60" i="1"/>
  <c r="C60" i="1"/>
  <c r="B60" i="1"/>
  <c r="A60" i="1"/>
  <c r="CE59" i="1"/>
  <c r="CD59" i="1"/>
  <c r="CB59" i="1"/>
  <c r="CA59" i="1"/>
  <c r="BY59" i="1"/>
  <c r="BX59" i="1"/>
  <c r="BV59" i="1"/>
  <c r="BU59" i="1"/>
  <c r="BS59" i="1"/>
  <c r="BR59" i="1"/>
  <c r="BP59" i="1"/>
  <c r="BO59" i="1"/>
  <c r="BM59" i="1"/>
  <c r="BL59" i="1"/>
  <c r="BJ59" i="1"/>
  <c r="BI59" i="1"/>
  <c r="BG59" i="1"/>
  <c r="BF59" i="1"/>
  <c r="BD59" i="1"/>
  <c r="BC59" i="1"/>
  <c r="BA59" i="1"/>
  <c r="AZ59" i="1"/>
  <c r="AU59" i="1"/>
  <c r="AT59" i="1"/>
  <c r="AR59" i="1"/>
  <c r="AQ59" i="1"/>
  <c r="AO59" i="1"/>
  <c r="AN59" i="1"/>
  <c r="AL59" i="1"/>
  <c r="AK59" i="1"/>
  <c r="AI59" i="1"/>
  <c r="AH59" i="1"/>
  <c r="AF59" i="1"/>
  <c r="AE59" i="1"/>
  <c r="AC59" i="1"/>
  <c r="AB59" i="1"/>
  <c r="Z59" i="1"/>
  <c r="Y59" i="1"/>
  <c r="W59" i="1"/>
  <c r="V59" i="1"/>
  <c r="T59" i="1"/>
  <c r="S59" i="1"/>
  <c r="Q59" i="1"/>
  <c r="P59" i="1"/>
  <c r="N59" i="1"/>
  <c r="M59" i="1"/>
  <c r="K59" i="1"/>
  <c r="J59" i="1"/>
  <c r="H59" i="1"/>
  <c r="G59" i="1"/>
  <c r="E59" i="1"/>
  <c r="D59" i="1"/>
  <c r="C59" i="1"/>
  <c r="B59" i="1"/>
  <c r="A59" i="1"/>
  <c r="CE58" i="1"/>
  <c r="CD58" i="1"/>
  <c r="CB58" i="1"/>
  <c r="CA58" i="1"/>
  <c r="BY58" i="1"/>
  <c r="BX58" i="1"/>
  <c r="BV58" i="1"/>
  <c r="BU58" i="1"/>
  <c r="BS58" i="1"/>
  <c r="BR58" i="1"/>
  <c r="BP58" i="1"/>
  <c r="BO58" i="1"/>
  <c r="BM58" i="1"/>
  <c r="BL58" i="1"/>
  <c r="BJ58" i="1"/>
  <c r="BI58" i="1"/>
  <c r="BG58" i="1"/>
  <c r="BF58" i="1"/>
  <c r="BD58" i="1"/>
  <c r="BC58" i="1"/>
  <c r="BA58" i="1"/>
  <c r="AZ58" i="1"/>
  <c r="AU58" i="1"/>
  <c r="AT58" i="1"/>
  <c r="AR58" i="1"/>
  <c r="AQ58" i="1"/>
  <c r="AO58" i="1"/>
  <c r="AN58" i="1"/>
  <c r="AL58" i="1"/>
  <c r="AK58" i="1"/>
  <c r="AI58" i="1"/>
  <c r="AH58" i="1"/>
  <c r="AF58" i="1"/>
  <c r="AE58" i="1"/>
  <c r="AC58" i="1"/>
  <c r="AB58" i="1"/>
  <c r="Z58" i="1"/>
  <c r="Y58" i="1"/>
  <c r="W58" i="1"/>
  <c r="V58" i="1"/>
  <c r="T58" i="1"/>
  <c r="S58" i="1"/>
  <c r="Q58" i="1"/>
  <c r="P58" i="1"/>
  <c r="N58" i="1"/>
  <c r="M58" i="1"/>
  <c r="K58" i="1"/>
  <c r="J58" i="1"/>
  <c r="H58" i="1"/>
  <c r="G58" i="1"/>
  <c r="E58" i="1"/>
  <c r="D58" i="1"/>
  <c r="C58" i="1"/>
  <c r="B58" i="1"/>
  <c r="A58" i="1"/>
  <c r="CE57" i="1"/>
  <c r="CD57" i="1"/>
  <c r="CB57" i="1"/>
  <c r="CA57" i="1"/>
  <c r="BY57" i="1"/>
  <c r="BX57" i="1"/>
  <c r="BV57" i="1"/>
  <c r="BU57" i="1"/>
  <c r="BS57" i="1"/>
  <c r="BR57" i="1"/>
  <c r="BP57" i="1"/>
  <c r="BO57" i="1"/>
  <c r="BM57" i="1"/>
  <c r="BL57" i="1"/>
  <c r="BJ57" i="1"/>
  <c r="BI57" i="1"/>
  <c r="BG57" i="1"/>
  <c r="BF57" i="1"/>
  <c r="BD57" i="1"/>
  <c r="BC57" i="1"/>
  <c r="BA57" i="1"/>
  <c r="AZ57" i="1"/>
  <c r="AU57" i="1"/>
  <c r="AT57" i="1"/>
  <c r="AR57" i="1"/>
  <c r="AQ57" i="1"/>
  <c r="AO57" i="1"/>
  <c r="AN57" i="1"/>
  <c r="AL57" i="1"/>
  <c r="AK57" i="1"/>
  <c r="AI57" i="1"/>
  <c r="AH57" i="1"/>
  <c r="AF57" i="1"/>
  <c r="AE57" i="1"/>
  <c r="AC57" i="1"/>
  <c r="AB57" i="1"/>
  <c r="Z57" i="1"/>
  <c r="Y57" i="1"/>
  <c r="W57" i="1"/>
  <c r="V57" i="1"/>
  <c r="T57" i="1"/>
  <c r="S57" i="1"/>
  <c r="Q57" i="1"/>
  <c r="P57" i="1"/>
  <c r="N57" i="1"/>
  <c r="M57" i="1"/>
  <c r="K57" i="1"/>
  <c r="J57" i="1"/>
  <c r="H57" i="1"/>
  <c r="G57" i="1"/>
  <c r="E57" i="1"/>
  <c r="D57" i="1"/>
  <c r="C57" i="1"/>
  <c r="B57" i="1"/>
  <c r="A57" i="1"/>
  <c r="CE56" i="1"/>
  <c r="CD56" i="1"/>
  <c r="CB56" i="1"/>
  <c r="CA56" i="1"/>
  <c r="BY56" i="1"/>
  <c r="BX56" i="1"/>
  <c r="BV56" i="1"/>
  <c r="BU56" i="1"/>
  <c r="BS56" i="1"/>
  <c r="BR56" i="1"/>
  <c r="BP56" i="1"/>
  <c r="BO56" i="1"/>
  <c r="BM56" i="1"/>
  <c r="BL56" i="1"/>
  <c r="BJ56" i="1"/>
  <c r="BI56" i="1"/>
  <c r="BG56" i="1"/>
  <c r="BF56" i="1"/>
  <c r="BD56" i="1"/>
  <c r="BC56" i="1"/>
  <c r="BA56" i="1"/>
  <c r="AZ56" i="1"/>
  <c r="AU56" i="1"/>
  <c r="AT56" i="1"/>
  <c r="AR56" i="1"/>
  <c r="AQ56" i="1"/>
  <c r="AO56" i="1"/>
  <c r="AN56" i="1"/>
  <c r="AL56" i="1"/>
  <c r="AK56" i="1"/>
  <c r="AI56" i="1"/>
  <c r="AH56" i="1"/>
  <c r="AF56" i="1"/>
  <c r="AE56" i="1"/>
  <c r="AC56" i="1"/>
  <c r="AB56" i="1"/>
  <c r="Z56" i="1"/>
  <c r="Y56" i="1"/>
  <c r="W56" i="1"/>
  <c r="V56" i="1"/>
  <c r="T56" i="1"/>
  <c r="S56" i="1"/>
  <c r="Q56" i="1"/>
  <c r="P56" i="1"/>
  <c r="N56" i="1"/>
  <c r="M56" i="1"/>
  <c r="K56" i="1"/>
  <c r="J56" i="1"/>
  <c r="H56" i="1"/>
  <c r="G56" i="1"/>
  <c r="E56" i="1"/>
  <c r="D56" i="1"/>
  <c r="C56" i="1"/>
  <c r="B56" i="1"/>
  <c r="A56" i="1"/>
  <c r="CE55" i="1"/>
  <c r="CD55" i="1"/>
  <c r="CB55" i="1"/>
  <c r="CA55" i="1"/>
  <c r="BY55" i="1"/>
  <c r="BX55" i="1"/>
  <c r="BV55" i="1"/>
  <c r="BU55" i="1"/>
  <c r="BS55" i="1"/>
  <c r="BR55" i="1"/>
  <c r="BP55" i="1"/>
  <c r="BO55" i="1"/>
  <c r="BM55" i="1"/>
  <c r="BL55" i="1"/>
  <c r="BJ55" i="1"/>
  <c r="BI55" i="1"/>
  <c r="BG55" i="1"/>
  <c r="BF55" i="1"/>
  <c r="BD55" i="1"/>
  <c r="BC55" i="1"/>
  <c r="BA55" i="1"/>
  <c r="AZ55" i="1"/>
  <c r="BB55" i="1" s="1"/>
  <c r="AU55" i="1"/>
  <c r="AT55" i="1"/>
  <c r="AR55" i="1"/>
  <c r="AQ55" i="1"/>
  <c r="AO55" i="1"/>
  <c r="AN55" i="1"/>
  <c r="AL55" i="1"/>
  <c r="AK55" i="1"/>
  <c r="AI55" i="1"/>
  <c r="AH55" i="1"/>
  <c r="AF55" i="1"/>
  <c r="AE55" i="1"/>
  <c r="AC55" i="1"/>
  <c r="AB55" i="1"/>
  <c r="Z55" i="1"/>
  <c r="Y55" i="1"/>
  <c r="W55" i="1"/>
  <c r="V55" i="1"/>
  <c r="T55" i="1"/>
  <c r="S55" i="1"/>
  <c r="Q55" i="1"/>
  <c r="P55" i="1"/>
  <c r="N55" i="1"/>
  <c r="M55" i="1"/>
  <c r="K55" i="1"/>
  <c r="J55" i="1"/>
  <c r="H55" i="1"/>
  <c r="G55" i="1"/>
  <c r="E55" i="1"/>
  <c r="D55" i="1"/>
  <c r="C55" i="1"/>
  <c r="B55" i="1"/>
  <c r="A55" i="1"/>
  <c r="CE54" i="1"/>
  <c r="CD54" i="1"/>
  <c r="CB54" i="1"/>
  <c r="CA54" i="1"/>
  <c r="BY54" i="1"/>
  <c r="BX54" i="1"/>
  <c r="BV54" i="1"/>
  <c r="BU54" i="1"/>
  <c r="BS54" i="1"/>
  <c r="BR54" i="1"/>
  <c r="BP54" i="1"/>
  <c r="BO54" i="1"/>
  <c r="BM54" i="1"/>
  <c r="BL54" i="1"/>
  <c r="BJ54" i="1"/>
  <c r="BI54" i="1"/>
  <c r="BG54" i="1"/>
  <c r="BF54" i="1"/>
  <c r="BD54" i="1"/>
  <c r="BC54" i="1"/>
  <c r="BA54" i="1"/>
  <c r="AZ54" i="1"/>
  <c r="AU54" i="1"/>
  <c r="AT54" i="1"/>
  <c r="AR54" i="1"/>
  <c r="AQ54" i="1"/>
  <c r="AO54" i="1"/>
  <c r="AN54" i="1"/>
  <c r="AL54" i="1"/>
  <c r="AK54" i="1"/>
  <c r="AI54" i="1"/>
  <c r="AH54" i="1"/>
  <c r="AF54" i="1"/>
  <c r="AE54" i="1"/>
  <c r="AC54" i="1"/>
  <c r="AB54" i="1"/>
  <c r="Z54" i="1"/>
  <c r="Y54" i="1"/>
  <c r="W54" i="1"/>
  <c r="V54" i="1"/>
  <c r="T54" i="1"/>
  <c r="S54" i="1"/>
  <c r="Q54" i="1"/>
  <c r="P54" i="1"/>
  <c r="N54" i="1"/>
  <c r="M54" i="1"/>
  <c r="K54" i="1"/>
  <c r="J54" i="1"/>
  <c r="H54" i="1"/>
  <c r="G54" i="1"/>
  <c r="E54" i="1"/>
  <c r="D54" i="1"/>
  <c r="C54" i="1"/>
  <c r="B54" i="1"/>
  <c r="A54" i="1"/>
  <c r="CE53" i="1"/>
  <c r="CD53" i="1"/>
  <c r="CB53" i="1"/>
  <c r="CA53" i="1"/>
  <c r="BY53" i="1"/>
  <c r="BX53" i="1"/>
  <c r="BV53" i="1"/>
  <c r="BU53" i="1"/>
  <c r="BS53" i="1"/>
  <c r="BR53" i="1"/>
  <c r="BP53" i="1"/>
  <c r="BO53" i="1"/>
  <c r="BM53" i="1"/>
  <c r="BL53" i="1"/>
  <c r="BJ53" i="1"/>
  <c r="BI53" i="1"/>
  <c r="BG53" i="1"/>
  <c r="BF53" i="1"/>
  <c r="BD53" i="1"/>
  <c r="BC53" i="1"/>
  <c r="BA53" i="1"/>
  <c r="AZ53" i="1"/>
  <c r="AU53" i="1"/>
  <c r="AT53" i="1"/>
  <c r="AR53" i="1"/>
  <c r="AQ53" i="1"/>
  <c r="AO53" i="1"/>
  <c r="AN53" i="1"/>
  <c r="AL53" i="1"/>
  <c r="AK53" i="1"/>
  <c r="AI53" i="1"/>
  <c r="AH53" i="1"/>
  <c r="AF53" i="1"/>
  <c r="AE53" i="1"/>
  <c r="AC53" i="1"/>
  <c r="AB53" i="1"/>
  <c r="Z53" i="1"/>
  <c r="Y53" i="1"/>
  <c r="W53" i="1"/>
  <c r="V53" i="1"/>
  <c r="T53" i="1"/>
  <c r="S53" i="1"/>
  <c r="Q53" i="1"/>
  <c r="P53" i="1"/>
  <c r="R53" i="1" s="1"/>
  <c r="N53" i="1"/>
  <c r="M53" i="1"/>
  <c r="K53" i="1"/>
  <c r="J53" i="1"/>
  <c r="H53" i="1"/>
  <c r="G53" i="1"/>
  <c r="E53" i="1"/>
  <c r="D53" i="1"/>
  <c r="C53" i="1"/>
  <c r="B53" i="1"/>
  <c r="A53" i="1"/>
  <c r="CE52" i="1"/>
  <c r="CD52" i="1"/>
  <c r="CB52" i="1"/>
  <c r="CA52" i="1"/>
  <c r="BY52" i="1"/>
  <c r="BX52" i="1"/>
  <c r="BV52" i="1"/>
  <c r="BU52" i="1"/>
  <c r="BS52" i="1"/>
  <c r="BR52" i="1"/>
  <c r="BP52" i="1"/>
  <c r="BO52" i="1"/>
  <c r="BM52" i="1"/>
  <c r="BL52" i="1"/>
  <c r="BJ52" i="1"/>
  <c r="BI52" i="1"/>
  <c r="BG52" i="1"/>
  <c r="BF52" i="1"/>
  <c r="BD52" i="1"/>
  <c r="BC52" i="1"/>
  <c r="BA52" i="1"/>
  <c r="AZ52" i="1"/>
  <c r="AU52" i="1"/>
  <c r="AT52" i="1"/>
  <c r="AR52" i="1"/>
  <c r="AQ52" i="1"/>
  <c r="AO52" i="1"/>
  <c r="AN52" i="1"/>
  <c r="AL52" i="1"/>
  <c r="AK52" i="1"/>
  <c r="AI52" i="1"/>
  <c r="AH52" i="1"/>
  <c r="AF52" i="1"/>
  <c r="AE52" i="1"/>
  <c r="AC52" i="1"/>
  <c r="AB52" i="1"/>
  <c r="Z52" i="1"/>
  <c r="Y52" i="1"/>
  <c r="W52" i="1"/>
  <c r="V52" i="1"/>
  <c r="T52" i="1"/>
  <c r="S52" i="1"/>
  <c r="Q52" i="1"/>
  <c r="P52" i="1"/>
  <c r="N52" i="1"/>
  <c r="M52" i="1"/>
  <c r="K52" i="1"/>
  <c r="J52" i="1"/>
  <c r="H52" i="1"/>
  <c r="G52" i="1"/>
  <c r="E52" i="1"/>
  <c r="D52" i="1"/>
  <c r="C52" i="1"/>
  <c r="B52" i="1"/>
  <c r="A52" i="1"/>
  <c r="CE51" i="1"/>
  <c r="CD51" i="1"/>
  <c r="CB51" i="1"/>
  <c r="CA51" i="1"/>
  <c r="BY51" i="1"/>
  <c r="BX51" i="1"/>
  <c r="BV51" i="1"/>
  <c r="BU51" i="1"/>
  <c r="BS51" i="1"/>
  <c r="BR51" i="1"/>
  <c r="BP51" i="1"/>
  <c r="BO51" i="1"/>
  <c r="BM51" i="1"/>
  <c r="BL51" i="1"/>
  <c r="BJ51" i="1"/>
  <c r="BI51" i="1"/>
  <c r="BG51" i="1"/>
  <c r="BF51" i="1"/>
  <c r="BD51" i="1"/>
  <c r="BC51" i="1"/>
  <c r="BA51" i="1"/>
  <c r="AZ51" i="1"/>
  <c r="AU51" i="1"/>
  <c r="AT51" i="1"/>
  <c r="AR51" i="1"/>
  <c r="AQ51" i="1"/>
  <c r="AO51" i="1"/>
  <c r="AN51" i="1"/>
  <c r="AL51" i="1"/>
  <c r="AK51" i="1"/>
  <c r="AI51" i="1"/>
  <c r="AH51" i="1"/>
  <c r="AF51" i="1"/>
  <c r="AE51" i="1"/>
  <c r="AC51" i="1"/>
  <c r="AB51" i="1"/>
  <c r="Z51" i="1"/>
  <c r="Y51" i="1"/>
  <c r="W51" i="1"/>
  <c r="V51" i="1"/>
  <c r="T51" i="1"/>
  <c r="S51" i="1"/>
  <c r="Q51" i="1"/>
  <c r="P51" i="1"/>
  <c r="N51" i="1"/>
  <c r="M51" i="1"/>
  <c r="K51" i="1"/>
  <c r="J51" i="1"/>
  <c r="H51" i="1"/>
  <c r="G51" i="1"/>
  <c r="E51" i="1"/>
  <c r="D51" i="1"/>
  <c r="C51" i="1"/>
  <c r="B51" i="1"/>
  <c r="A51" i="1"/>
  <c r="CE50" i="1"/>
  <c r="CD50" i="1"/>
  <c r="CB50" i="1"/>
  <c r="CA50" i="1"/>
  <c r="BY50" i="1"/>
  <c r="BX50" i="1"/>
  <c r="BV50" i="1"/>
  <c r="BU50" i="1"/>
  <c r="BS50" i="1"/>
  <c r="BR50" i="1"/>
  <c r="BP50" i="1"/>
  <c r="BO50" i="1"/>
  <c r="BM50" i="1"/>
  <c r="BL50" i="1"/>
  <c r="BJ50" i="1"/>
  <c r="BI50" i="1"/>
  <c r="BG50" i="1"/>
  <c r="BF50" i="1"/>
  <c r="BD50" i="1"/>
  <c r="BC50" i="1"/>
  <c r="BA50" i="1"/>
  <c r="AZ50" i="1"/>
  <c r="AU50" i="1"/>
  <c r="AT50" i="1"/>
  <c r="AR50" i="1"/>
  <c r="AQ50" i="1"/>
  <c r="AO50" i="1"/>
  <c r="AN50" i="1"/>
  <c r="AL50" i="1"/>
  <c r="AK50" i="1"/>
  <c r="AI50" i="1"/>
  <c r="AH50" i="1"/>
  <c r="AF50" i="1"/>
  <c r="AE50" i="1"/>
  <c r="AC50" i="1"/>
  <c r="AB50" i="1"/>
  <c r="Z50" i="1"/>
  <c r="Y50" i="1"/>
  <c r="W50" i="1"/>
  <c r="V50" i="1"/>
  <c r="T50" i="1"/>
  <c r="S50" i="1"/>
  <c r="Q50" i="1"/>
  <c r="P50" i="1"/>
  <c r="N50" i="1"/>
  <c r="M50" i="1"/>
  <c r="K50" i="1"/>
  <c r="J50" i="1"/>
  <c r="H50" i="1"/>
  <c r="G50" i="1"/>
  <c r="E50" i="1"/>
  <c r="D50" i="1"/>
  <c r="C50" i="1"/>
  <c r="B50" i="1"/>
  <c r="A50" i="1"/>
  <c r="CE49" i="1"/>
  <c r="CD49" i="1"/>
  <c r="CB49" i="1"/>
  <c r="CA49" i="1"/>
  <c r="BY49" i="1"/>
  <c r="BX49" i="1"/>
  <c r="BV49" i="1"/>
  <c r="BU49" i="1"/>
  <c r="BS49" i="1"/>
  <c r="BR49" i="1"/>
  <c r="BP49" i="1"/>
  <c r="BO49" i="1"/>
  <c r="BM49" i="1"/>
  <c r="BL49" i="1"/>
  <c r="BJ49" i="1"/>
  <c r="BI49" i="1"/>
  <c r="BG49" i="1"/>
  <c r="BF49" i="1"/>
  <c r="BD49" i="1"/>
  <c r="BC49" i="1"/>
  <c r="BA49" i="1"/>
  <c r="AZ49" i="1"/>
  <c r="AU49" i="1"/>
  <c r="AT49" i="1"/>
  <c r="AR49" i="1"/>
  <c r="AQ49" i="1"/>
  <c r="AO49" i="1"/>
  <c r="AN49" i="1"/>
  <c r="AL49" i="1"/>
  <c r="AK49" i="1"/>
  <c r="AI49" i="1"/>
  <c r="AH49" i="1"/>
  <c r="AF49" i="1"/>
  <c r="AE49" i="1"/>
  <c r="AC49" i="1"/>
  <c r="AB49" i="1"/>
  <c r="Z49" i="1"/>
  <c r="Y49" i="1"/>
  <c r="W49" i="1"/>
  <c r="V49" i="1"/>
  <c r="T49" i="1"/>
  <c r="S49" i="1"/>
  <c r="Q49" i="1"/>
  <c r="P49" i="1"/>
  <c r="N49" i="1"/>
  <c r="M49" i="1"/>
  <c r="K49" i="1"/>
  <c r="J49" i="1"/>
  <c r="H49" i="1"/>
  <c r="G49" i="1"/>
  <c r="E49" i="1"/>
  <c r="D49" i="1"/>
  <c r="C49" i="1"/>
  <c r="B49" i="1"/>
  <c r="A49" i="1"/>
  <c r="CE48" i="1"/>
  <c r="CD48" i="1"/>
  <c r="CB48" i="1"/>
  <c r="CA48" i="1"/>
  <c r="BY48" i="1"/>
  <c r="BX48" i="1"/>
  <c r="BV48" i="1"/>
  <c r="BU48" i="1"/>
  <c r="BS48" i="1"/>
  <c r="BR48" i="1"/>
  <c r="BP48" i="1"/>
  <c r="BO48" i="1"/>
  <c r="BM48" i="1"/>
  <c r="BL48" i="1"/>
  <c r="BJ48" i="1"/>
  <c r="BI48" i="1"/>
  <c r="BG48" i="1"/>
  <c r="BF48" i="1"/>
  <c r="BD48" i="1"/>
  <c r="BC48" i="1"/>
  <c r="BA48" i="1"/>
  <c r="AZ48" i="1"/>
  <c r="AU48" i="1"/>
  <c r="AT48" i="1"/>
  <c r="AR48" i="1"/>
  <c r="AQ48" i="1"/>
  <c r="AO48" i="1"/>
  <c r="AN48" i="1"/>
  <c r="AL48" i="1"/>
  <c r="AK48" i="1"/>
  <c r="AI48" i="1"/>
  <c r="AH48" i="1"/>
  <c r="AF48" i="1"/>
  <c r="AE48" i="1"/>
  <c r="AC48" i="1"/>
  <c r="AB48" i="1"/>
  <c r="Z48" i="1"/>
  <c r="Y48" i="1"/>
  <c r="W48" i="1"/>
  <c r="V48" i="1"/>
  <c r="T48" i="1"/>
  <c r="S48" i="1"/>
  <c r="Q48" i="1"/>
  <c r="P48" i="1"/>
  <c r="N48" i="1"/>
  <c r="M48" i="1"/>
  <c r="K48" i="1"/>
  <c r="J48" i="1"/>
  <c r="H48" i="1"/>
  <c r="G48" i="1"/>
  <c r="E48" i="1"/>
  <c r="D48" i="1"/>
  <c r="C48" i="1"/>
  <c r="B48" i="1"/>
  <c r="A48" i="1"/>
  <c r="CE47" i="1"/>
  <c r="CD47" i="1"/>
  <c r="CB47" i="1"/>
  <c r="CA47" i="1"/>
  <c r="BY47" i="1"/>
  <c r="BX47" i="1"/>
  <c r="BV47" i="1"/>
  <c r="BU47" i="1"/>
  <c r="BS47" i="1"/>
  <c r="BR47" i="1"/>
  <c r="BP47" i="1"/>
  <c r="BO47" i="1"/>
  <c r="BM47" i="1"/>
  <c r="BL47" i="1"/>
  <c r="BJ47" i="1"/>
  <c r="BI47" i="1"/>
  <c r="BG47" i="1"/>
  <c r="BF47" i="1"/>
  <c r="BD47" i="1"/>
  <c r="BC47" i="1"/>
  <c r="BA47" i="1"/>
  <c r="AZ47" i="1"/>
  <c r="AU47" i="1"/>
  <c r="AT47" i="1"/>
  <c r="AR47" i="1"/>
  <c r="AQ47" i="1"/>
  <c r="AO47" i="1"/>
  <c r="AN47" i="1"/>
  <c r="AL47" i="1"/>
  <c r="AK47" i="1"/>
  <c r="AI47" i="1"/>
  <c r="AH47" i="1"/>
  <c r="AF47" i="1"/>
  <c r="AE47" i="1"/>
  <c r="AC47" i="1"/>
  <c r="AB47" i="1"/>
  <c r="Z47" i="1"/>
  <c r="Y47" i="1"/>
  <c r="W47" i="1"/>
  <c r="V47" i="1"/>
  <c r="T47" i="1"/>
  <c r="S47" i="1"/>
  <c r="Q47" i="1"/>
  <c r="P47" i="1"/>
  <c r="N47" i="1"/>
  <c r="M47" i="1"/>
  <c r="K47" i="1"/>
  <c r="J47" i="1"/>
  <c r="H47" i="1"/>
  <c r="G47" i="1"/>
  <c r="E47" i="1"/>
  <c r="D47" i="1"/>
  <c r="C47" i="1"/>
  <c r="B47" i="1"/>
  <c r="A47" i="1"/>
  <c r="CE46" i="1"/>
  <c r="CD46" i="1"/>
  <c r="CB46" i="1"/>
  <c r="CA46" i="1"/>
  <c r="BY46" i="1"/>
  <c r="BX46" i="1"/>
  <c r="BV46" i="1"/>
  <c r="BU46" i="1"/>
  <c r="BS46" i="1"/>
  <c r="BR46" i="1"/>
  <c r="BP46" i="1"/>
  <c r="BO46" i="1"/>
  <c r="BM46" i="1"/>
  <c r="BL46" i="1"/>
  <c r="BJ46" i="1"/>
  <c r="BI46" i="1"/>
  <c r="BG46" i="1"/>
  <c r="BF46" i="1"/>
  <c r="BD46" i="1"/>
  <c r="BC46" i="1"/>
  <c r="BA46" i="1"/>
  <c r="AZ46" i="1"/>
  <c r="AU46" i="1"/>
  <c r="AT46" i="1"/>
  <c r="AR46" i="1"/>
  <c r="AQ46" i="1"/>
  <c r="AO46" i="1"/>
  <c r="AN46" i="1"/>
  <c r="AL46" i="1"/>
  <c r="AK46" i="1"/>
  <c r="AI46" i="1"/>
  <c r="AH46" i="1"/>
  <c r="AF46" i="1"/>
  <c r="AE46" i="1"/>
  <c r="AC46" i="1"/>
  <c r="AB46" i="1"/>
  <c r="Z46" i="1"/>
  <c r="Y46" i="1"/>
  <c r="W46" i="1"/>
  <c r="V46" i="1"/>
  <c r="T46" i="1"/>
  <c r="S46" i="1"/>
  <c r="Q46" i="1"/>
  <c r="P46" i="1"/>
  <c r="N46" i="1"/>
  <c r="M46" i="1"/>
  <c r="K46" i="1"/>
  <c r="J46" i="1"/>
  <c r="H46" i="1"/>
  <c r="G46" i="1"/>
  <c r="E46" i="1"/>
  <c r="D46" i="1"/>
  <c r="C46" i="1"/>
  <c r="B46" i="1"/>
  <c r="A46" i="1"/>
  <c r="CE45" i="1"/>
  <c r="CD45" i="1"/>
  <c r="CB45" i="1"/>
  <c r="CA45" i="1"/>
  <c r="BY45" i="1"/>
  <c r="BX45" i="1"/>
  <c r="BV45" i="1"/>
  <c r="BU45" i="1"/>
  <c r="BS45" i="1"/>
  <c r="BR45" i="1"/>
  <c r="BP45" i="1"/>
  <c r="BO45" i="1"/>
  <c r="BM45" i="1"/>
  <c r="BL45" i="1"/>
  <c r="BJ45" i="1"/>
  <c r="BI45" i="1"/>
  <c r="BG45" i="1"/>
  <c r="BF45" i="1"/>
  <c r="BD45" i="1"/>
  <c r="BC45" i="1"/>
  <c r="BA45" i="1"/>
  <c r="AZ45" i="1"/>
  <c r="AU45" i="1"/>
  <c r="AT45" i="1"/>
  <c r="AR45" i="1"/>
  <c r="AQ45" i="1"/>
  <c r="AO45" i="1"/>
  <c r="AN45" i="1"/>
  <c r="AL45" i="1"/>
  <c r="AK45" i="1"/>
  <c r="AI45" i="1"/>
  <c r="AH45" i="1"/>
  <c r="AF45" i="1"/>
  <c r="AE45" i="1"/>
  <c r="AC45" i="1"/>
  <c r="AB45" i="1"/>
  <c r="Z45" i="1"/>
  <c r="Y45" i="1"/>
  <c r="W45" i="1"/>
  <c r="V45" i="1"/>
  <c r="T45" i="1"/>
  <c r="S45" i="1"/>
  <c r="Q45" i="1"/>
  <c r="P45" i="1"/>
  <c r="N45" i="1"/>
  <c r="M45" i="1"/>
  <c r="K45" i="1"/>
  <c r="J45" i="1"/>
  <c r="H45" i="1"/>
  <c r="G45" i="1"/>
  <c r="E45" i="1"/>
  <c r="D45" i="1"/>
  <c r="C45" i="1"/>
  <c r="B45" i="1"/>
  <c r="A45" i="1"/>
  <c r="CE44" i="1"/>
  <c r="CD44" i="1"/>
  <c r="CB44" i="1"/>
  <c r="CA44" i="1"/>
  <c r="BY44" i="1"/>
  <c r="BX44" i="1"/>
  <c r="BV44" i="1"/>
  <c r="BU44" i="1"/>
  <c r="BS44" i="1"/>
  <c r="BR44" i="1"/>
  <c r="BP44" i="1"/>
  <c r="BO44" i="1"/>
  <c r="BM44" i="1"/>
  <c r="BL44" i="1"/>
  <c r="BJ44" i="1"/>
  <c r="BI44" i="1"/>
  <c r="BG44" i="1"/>
  <c r="BF44" i="1"/>
  <c r="BD44" i="1"/>
  <c r="BC44" i="1"/>
  <c r="BA44" i="1"/>
  <c r="AZ44" i="1"/>
  <c r="AU44" i="1"/>
  <c r="AT44" i="1"/>
  <c r="AR44" i="1"/>
  <c r="AQ44" i="1"/>
  <c r="AO44" i="1"/>
  <c r="AN44" i="1"/>
  <c r="AL44" i="1"/>
  <c r="AK44" i="1"/>
  <c r="AI44" i="1"/>
  <c r="AH44" i="1"/>
  <c r="AF44" i="1"/>
  <c r="AE44" i="1"/>
  <c r="AC44" i="1"/>
  <c r="AB44" i="1"/>
  <c r="Z44" i="1"/>
  <c r="Y44" i="1"/>
  <c r="W44" i="1"/>
  <c r="V44" i="1"/>
  <c r="T44" i="1"/>
  <c r="S44" i="1"/>
  <c r="Q44" i="1"/>
  <c r="P44" i="1"/>
  <c r="N44" i="1"/>
  <c r="M44" i="1"/>
  <c r="K44" i="1"/>
  <c r="J44" i="1"/>
  <c r="H44" i="1"/>
  <c r="G44" i="1"/>
  <c r="E44" i="1"/>
  <c r="D44" i="1"/>
  <c r="C44" i="1"/>
  <c r="B44" i="1"/>
  <c r="A44" i="1"/>
  <c r="CE43" i="1"/>
  <c r="CD43" i="1"/>
  <c r="CB43" i="1"/>
  <c r="CA43" i="1"/>
  <c r="BY43" i="1"/>
  <c r="BX43" i="1"/>
  <c r="BV43" i="1"/>
  <c r="BU43" i="1"/>
  <c r="BS43" i="1"/>
  <c r="BR43" i="1"/>
  <c r="BP43" i="1"/>
  <c r="BO43" i="1"/>
  <c r="BM43" i="1"/>
  <c r="BL43" i="1"/>
  <c r="BJ43" i="1"/>
  <c r="BI43" i="1"/>
  <c r="BG43" i="1"/>
  <c r="BF43" i="1"/>
  <c r="BD43" i="1"/>
  <c r="BC43" i="1"/>
  <c r="BA43" i="1"/>
  <c r="AZ43" i="1"/>
  <c r="AU43" i="1"/>
  <c r="AT43" i="1"/>
  <c r="AR43" i="1"/>
  <c r="AQ43" i="1"/>
  <c r="AO43" i="1"/>
  <c r="AN43" i="1"/>
  <c r="AL43" i="1"/>
  <c r="AK43" i="1"/>
  <c r="AI43" i="1"/>
  <c r="AH43" i="1"/>
  <c r="AF43" i="1"/>
  <c r="AE43" i="1"/>
  <c r="AC43" i="1"/>
  <c r="AB43" i="1"/>
  <c r="Z43" i="1"/>
  <c r="Y43" i="1"/>
  <c r="W43" i="1"/>
  <c r="V43" i="1"/>
  <c r="T43" i="1"/>
  <c r="S43" i="1"/>
  <c r="Q43" i="1"/>
  <c r="P43" i="1"/>
  <c r="N43" i="1"/>
  <c r="M43" i="1"/>
  <c r="K43" i="1"/>
  <c r="J43" i="1"/>
  <c r="H43" i="1"/>
  <c r="G43" i="1"/>
  <c r="E43" i="1"/>
  <c r="D43" i="1"/>
  <c r="C43" i="1"/>
  <c r="B43" i="1"/>
  <c r="A43" i="1"/>
  <c r="CE42" i="1"/>
  <c r="CD42" i="1"/>
  <c r="CB42" i="1"/>
  <c r="CA42" i="1"/>
  <c r="BY42" i="1"/>
  <c r="BX42" i="1"/>
  <c r="BV42" i="1"/>
  <c r="BU42" i="1"/>
  <c r="BS42" i="1"/>
  <c r="BR42" i="1"/>
  <c r="BP42" i="1"/>
  <c r="BO42" i="1"/>
  <c r="BM42" i="1"/>
  <c r="BL42" i="1"/>
  <c r="BJ42" i="1"/>
  <c r="BI42" i="1"/>
  <c r="BG42" i="1"/>
  <c r="BF42" i="1"/>
  <c r="BD42" i="1"/>
  <c r="BC42" i="1"/>
  <c r="BA42" i="1"/>
  <c r="AZ42" i="1"/>
  <c r="AU42" i="1"/>
  <c r="AT42" i="1"/>
  <c r="AR42" i="1"/>
  <c r="AQ42" i="1"/>
  <c r="AO42" i="1"/>
  <c r="AX42" i="1" s="1"/>
  <c r="AN42" i="1"/>
  <c r="AL42" i="1"/>
  <c r="AK42" i="1"/>
  <c r="AI42" i="1"/>
  <c r="AH42" i="1"/>
  <c r="AF42" i="1"/>
  <c r="AE42" i="1"/>
  <c r="AC42" i="1"/>
  <c r="AB42" i="1"/>
  <c r="Z42" i="1"/>
  <c r="Y42" i="1"/>
  <c r="W42" i="1"/>
  <c r="V42" i="1"/>
  <c r="T42" i="1"/>
  <c r="S42" i="1"/>
  <c r="Q42" i="1"/>
  <c r="P42" i="1"/>
  <c r="N42" i="1"/>
  <c r="M42" i="1"/>
  <c r="K42" i="1"/>
  <c r="J42" i="1"/>
  <c r="H42" i="1"/>
  <c r="G42" i="1"/>
  <c r="E42" i="1"/>
  <c r="D42" i="1"/>
  <c r="C42" i="1"/>
  <c r="B42" i="1"/>
  <c r="A42" i="1"/>
  <c r="CE41" i="1"/>
  <c r="CD41" i="1"/>
  <c r="CB41" i="1"/>
  <c r="CA41" i="1"/>
  <c r="BY41" i="1"/>
  <c r="BX41" i="1"/>
  <c r="BV41" i="1"/>
  <c r="BU41" i="1"/>
  <c r="BS41" i="1"/>
  <c r="BR41" i="1"/>
  <c r="BP41" i="1"/>
  <c r="BO41" i="1"/>
  <c r="BM41" i="1"/>
  <c r="BL41" i="1"/>
  <c r="BJ41" i="1"/>
  <c r="BI41" i="1"/>
  <c r="BG41" i="1"/>
  <c r="BF41" i="1"/>
  <c r="BD41" i="1"/>
  <c r="BC41" i="1"/>
  <c r="BA41" i="1"/>
  <c r="AZ41" i="1"/>
  <c r="AU41" i="1"/>
  <c r="AT41" i="1"/>
  <c r="AR41" i="1"/>
  <c r="AQ41" i="1"/>
  <c r="AO41" i="1"/>
  <c r="AN41" i="1"/>
  <c r="AL41" i="1"/>
  <c r="AK41" i="1"/>
  <c r="AI41" i="1"/>
  <c r="AH41" i="1"/>
  <c r="AF41" i="1"/>
  <c r="AE41" i="1"/>
  <c r="AC41" i="1"/>
  <c r="AB41" i="1"/>
  <c r="Z41" i="1"/>
  <c r="Y41" i="1"/>
  <c r="W41" i="1"/>
  <c r="V41" i="1"/>
  <c r="T41" i="1"/>
  <c r="S41" i="1"/>
  <c r="Q41" i="1"/>
  <c r="P41" i="1"/>
  <c r="N41" i="1"/>
  <c r="M41" i="1"/>
  <c r="K41" i="1"/>
  <c r="J41" i="1"/>
  <c r="H41" i="1"/>
  <c r="G41" i="1"/>
  <c r="E41" i="1"/>
  <c r="D41" i="1"/>
  <c r="C41" i="1"/>
  <c r="B41" i="1"/>
  <c r="A41" i="1"/>
  <c r="CE40" i="1"/>
  <c r="CD40" i="1"/>
  <c r="CB40" i="1"/>
  <c r="CA40" i="1"/>
  <c r="BY40" i="1"/>
  <c r="BX40" i="1"/>
  <c r="BV40" i="1"/>
  <c r="BU40" i="1"/>
  <c r="BS40" i="1"/>
  <c r="BR40" i="1"/>
  <c r="BP40" i="1"/>
  <c r="BO40" i="1"/>
  <c r="BM40" i="1"/>
  <c r="BL40" i="1"/>
  <c r="BJ40" i="1"/>
  <c r="BI40" i="1"/>
  <c r="BG40" i="1"/>
  <c r="BF40" i="1"/>
  <c r="BD40" i="1"/>
  <c r="BC40" i="1"/>
  <c r="BA40" i="1"/>
  <c r="AZ40" i="1"/>
  <c r="AU40" i="1"/>
  <c r="AT40" i="1"/>
  <c r="AR40" i="1"/>
  <c r="AQ40" i="1"/>
  <c r="AO40" i="1"/>
  <c r="AN40" i="1"/>
  <c r="AL40" i="1"/>
  <c r="AK40" i="1"/>
  <c r="AI40" i="1"/>
  <c r="AH40" i="1"/>
  <c r="AF40" i="1"/>
  <c r="AE40" i="1"/>
  <c r="AC40" i="1"/>
  <c r="AB40" i="1"/>
  <c r="Z40" i="1"/>
  <c r="Y40" i="1"/>
  <c r="W40" i="1"/>
  <c r="V40" i="1"/>
  <c r="T40" i="1"/>
  <c r="S40" i="1"/>
  <c r="Q40" i="1"/>
  <c r="P40" i="1"/>
  <c r="N40" i="1"/>
  <c r="M40" i="1"/>
  <c r="K40" i="1"/>
  <c r="J40" i="1"/>
  <c r="H40" i="1"/>
  <c r="G40" i="1"/>
  <c r="E40" i="1"/>
  <c r="D40" i="1"/>
  <c r="C40" i="1"/>
  <c r="B40" i="1"/>
  <c r="A40" i="1"/>
  <c r="CE39" i="1"/>
  <c r="CD39" i="1"/>
  <c r="CB39" i="1"/>
  <c r="CA39" i="1"/>
  <c r="BY39" i="1"/>
  <c r="BX39" i="1"/>
  <c r="BV39" i="1"/>
  <c r="BU39" i="1"/>
  <c r="BS39" i="1"/>
  <c r="BR39" i="1"/>
  <c r="BP39" i="1"/>
  <c r="BO39" i="1"/>
  <c r="BM39" i="1"/>
  <c r="BL39" i="1"/>
  <c r="BJ39" i="1"/>
  <c r="BI39" i="1"/>
  <c r="BG39" i="1"/>
  <c r="BF39" i="1"/>
  <c r="BD39" i="1"/>
  <c r="BC39" i="1"/>
  <c r="BA39" i="1"/>
  <c r="AZ39" i="1"/>
  <c r="AU39" i="1"/>
  <c r="AT39" i="1"/>
  <c r="AR39" i="1"/>
  <c r="AQ39" i="1"/>
  <c r="AO39" i="1"/>
  <c r="AN39" i="1"/>
  <c r="AL39" i="1"/>
  <c r="AK39" i="1"/>
  <c r="AI39" i="1"/>
  <c r="AH39" i="1"/>
  <c r="AF39" i="1"/>
  <c r="AE39" i="1"/>
  <c r="AC39" i="1"/>
  <c r="AB39" i="1"/>
  <c r="Z39" i="1"/>
  <c r="Y39" i="1"/>
  <c r="W39" i="1"/>
  <c r="V39" i="1"/>
  <c r="T39" i="1"/>
  <c r="S39" i="1"/>
  <c r="Q39" i="1"/>
  <c r="P39" i="1"/>
  <c r="N39" i="1"/>
  <c r="M39" i="1"/>
  <c r="K39" i="1"/>
  <c r="J39" i="1"/>
  <c r="H39" i="1"/>
  <c r="G39" i="1"/>
  <c r="E39" i="1"/>
  <c r="D39" i="1"/>
  <c r="C39" i="1"/>
  <c r="B39" i="1"/>
  <c r="A39" i="1"/>
  <c r="CE38" i="1"/>
  <c r="CD38" i="1"/>
  <c r="CB38" i="1"/>
  <c r="CA38" i="1"/>
  <c r="BY38" i="1"/>
  <c r="BX38" i="1"/>
  <c r="BV38" i="1"/>
  <c r="BU38" i="1"/>
  <c r="BS38" i="1"/>
  <c r="BR38" i="1"/>
  <c r="BP38" i="1"/>
  <c r="BO38" i="1"/>
  <c r="BM38" i="1"/>
  <c r="BL38" i="1"/>
  <c r="BJ38" i="1"/>
  <c r="BI38" i="1"/>
  <c r="BG38" i="1"/>
  <c r="BF38" i="1"/>
  <c r="BD38" i="1"/>
  <c r="BC38" i="1"/>
  <c r="BA38" i="1"/>
  <c r="AZ38" i="1"/>
  <c r="AU38" i="1"/>
  <c r="AT38" i="1"/>
  <c r="AR38" i="1"/>
  <c r="AQ38" i="1"/>
  <c r="AO38" i="1"/>
  <c r="AN38" i="1"/>
  <c r="AL38" i="1"/>
  <c r="AK38" i="1"/>
  <c r="AI38" i="1"/>
  <c r="AH38" i="1"/>
  <c r="AF38" i="1"/>
  <c r="AE38" i="1"/>
  <c r="AC38" i="1"/>
  <c r="AB38" i="1"/>
  <c r="Z38" i="1"/>
  <c r="Y38" i="1"/>
  <c r="W38" i="1"/>
  <c r="V38" i="1"/>
  <c r="T38" i="1"/>
  <c r="S38" i="1"/>
  <c r="Q38" i="1"/>
  <c r="P38" i="1"/>
  <c r="N38" i="1"/>
  <c r="M38" i="1"/>
  <c r="K38" i="1"/>
  <c r="J38" i="1"/>
  <c r="H38" i="1"/>
  <c r="G38" i="1"/>
  <c r="E38" i="1"/>
  <c r="D38" i="1"/>
  <c r="C38" i="1"/>
  <c r="B38" i="1"/>
  <c r="A38" i="1"/>
  <c r="CE37" i="1"/>
  <c r="CD37" i="1"/>
  <c r="CB37" i="1"/>
  <c r="CA37" i="1"/>
  <c r="BY37" i="1"/>
  <c r="BX37" i="1"/>
  <c r="BV37" i="1"/>
  <c r="BU37" i="1"/>
  <c r="BS37" i="1"/>
  <c r="BR37" i="1"/>
  <c r="BP37" i="1"/>
  <c r="BO37" i="1"/>
  <c r="BM37" i="1"/>
  <c r="BL37" i="1"/>
  <c r="BJ37" i="1"/>
  <c r="BI37" i="1"/>
  <c r="BG37" i="1"/>
  <c r="BF37" i="1"/>
  <c r="BD37" i="1"/>
  <c r="BC37" i="1"/>
  <c r="BA37" i="1"/>
  <c r="AZ37" i="1"/>
  <c r="AU37" i="1"/>
  <c r="AT37" i="1"/>
  <c r="AR37" i="1"/>
  <c r="AQ37" i="1"/>
  <c r="AO37" i="1"/>
  <c r="AN37" i="1"/>
  <c r="AW37" i="1" s="1"/>
  <c r="AL37" i="1"/>
  <c r="AK37" i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J37" i="1"/>
  <c r="H37" i="1"/>
  <c r="G37" i="1"/>
  <c r="E37" i="1"/>
  <c r="D37" i="1"/>
  <c r="C37" i="1"/>
  <c r="B37" i="1"/>
  <c r="A37" i="1"/>
  <c r="CE36" i="1"/>
  <c r="CD36" i="1"/>
  <c r="CB36" i="1"/>
  <c r="CA36" i="1"/>
  <c r="BY36" i="1"/>
  <c r="BX36" i="1"/>
  <c r="BV36" i="1"/>
  <c r="BU36" i="1"/>
  <c r="BS36" i="1"/>
  <c r="BR36" i="1"/>
  <c r="BP36" i="1"/>
  <c r="BO36" i="1"/>
  <c r="BM36" i="1"/>
  <c r="BL36" i="1"/>
  <c r="BJ36" i="1"/>
  <c r="BI36" i="1"/>
  <c r="BG36" i="1"/>
  <c r="BF36" i="1"/>
  <c r="BD36" i="1"/>
  <c r="BC36" i="1"/>
  <c r="BA36" i="1"/>
  <c r="AZ36" i="1"/>
  <c r="AU36" i="1"/>
  <c r="AT36" i="1"/>
  <c r="AR36" i="1"/>
  <c r="AQ36" i="1"/>
  <c r="AO36" i="1"/>
  <c r="AN36" i="1"/>
  <c r="AL36" i="1"/>
  <c r="AK36" i="1"/>
  <c r="AI36" i="1"/>
  <c r="AH36" i="1"/>
  <c r="AF36" i="1"/>
  <c r="AE36" i="1"/>
  <c r="AC36" i="1"/>
  <c r="AB36" i="1"/>
  <c r="Z36" i="1"/>
  <c r="Y36" i="1"/>
  <c r="W36" i="1"/>
  <c r="V36" i="1"/>
  <c r="T36" i="1"/>
  <c r="S36" i="1"/>
  <c r="Q36" i="1"/>
  <c r="P36" i="1"/>
  <c r="N36" i="1"/>
  <c r="M36" i="1"/>
  <c r="K36" i="1"/>
  <c r="J36" i="1"/>
  <c r="H36" i="1"/>
  <c r="G36" i="1"/>
  <c r="E36" i="1"/>
  <c r="D36" i="1"/>
  <c r="C36" i="1"/>
  <c r="B36" i="1"/>
  <c r="A36" i="1"/>
  <c r="CE35" i="1"/>
  <c r="CD35" i="1"/>
  <c r="CF35" i="1" s="1"/>
  <c r="CB35" i="1"/>
  <c r="CA35" i="1"/>
  <c r="BY35" i="1"/>
  <c r="BX35" i="1"/>
  <c r="BV35" i="1"/>
  <c r="BU35" i="1"/>
  <c r="BS35" i="1"/>
  <c r="BR35" i="1"/>
  <c r="BP35" i="1"/>
  <c r="BO35" i="1"/>
  <c r="BM35" i="1"/>
  <c r="BL35" i="1"/>
  <c r="BJ35" i="1"/>
  <c r="BI35" i="1"/>
  <c r="BG35" i="1"/>
  <c r="BF35" i="1"/>
  <c r="BD35" i="1"/>
  <c r="BC35" i="1"/>
  <c r="BA35" i="1"/>
  <c r="AZ35" i="1"/>
  <c r="AU35" i="1"/>
  <c r="AT35" i="1"/>
  <c r="AR35" i="1"/>
  <c r="AQ35" i="1"/>
  <c r="AO35" i="1"/>
  <c r="AN35" i="1"/>
  <c r="AL35" i="1"/>
  <c r="AK35" i="1"/>
  <c r="AI35" i="1"/>
  <c r="AH35" i="1"/>
  <c r="AF35" i="1"/>
  <c r="AE35" i="1"/>
  <c r="AC35" i="1"/>
  <c r="AB35" i="1"/>
  <c r="Z35" i="1"/>
  <c r="Y35" i="1"/>
  <c r="W35" i="1"/>
  <c r="V35" i="1"/>
  <c r="T35" i="1"/>
  <c r="S35" i="1"/>
  <c r="Q35" i="1"/>
  <c r="P35" i="1"/>
  <c r="N35" i="1"/>
  <c r="M35" i="1"/>
  <c r="K35" i="1"/>
  <c r="J35" i="1"/>
  <c r="H35" i="1"/>
  <c r="G35" i="1"/>
  <c r="E35" i="1"/>
  <c r="D35" i="1"/>
  <c r="C35" i="1"/>
  <c r="B35" i="1"/>
  <c r="A35" i="1"/>
  <c r="CE34" i="1"/>
  <c r="CD34" i="1"/>
  <c r="CB34" i="1"/>
  <c r="CA34" i="1"/>
  <c r="BY34" i="1"/>
  <c r="BX34" i="1"/>
  <c r="BV34" i="1"/>
  <c r="BU34" i="1"/>
  <c r="BS34" i="1"/>
  <c r="BR34" i="1"/>
  <c r="BP34" i="1"/>
  <c r="BO34" i="1"/>
  <c r="BM34" i="1"/>
  <c r="BL34" i="1"/>
  <c r="BJ34" i="1"/>
  <c r="BI34" i="1"/>
  <c r="BG34" i="1"/>
  <c r="BF34" i="1"/>
  <c r="BD34" i="1"/>
  <c r="BC34" i="1"/>
  <c r="BA34" i="1"/>
  <c r="AZ34" i="1"/>
  <c r="AU34" i="1"/>
  <c r="AT34" i="1"/>
  <c r="AR34" i="1"/>
  <c r="AQ34" i="1"/>
  <c r="AO34" i="1"/>
  <c r="AN34" i="1"/>
  <c r="AL34" i="1"/>
  <c r="AK34" i="1"/>
  <c r="AI34" i="1"/>
  <c r="AH34" i="1"/>
  <c r="AF34" i="1"/>
  <c r="AE34" i="1"/>
  <c r="AC34" i="1"/>
  <c r="AB34" i="1"/>
  <c r="Z34" i="1"/>
  <c r="Y34" i="1"/>
  <c r="W34" i="1"/>
  <c r="V34" i="1"/>
  <c r="T34" i="1"/>
  <c r="S34" i="1"/>
  <c r="Q34" i="1"/>
  <c r="P34" i="1"/>
  <c r="N34" i="1"/>
  <c r="M34" i="1"/>
  <c r="K34" i="1"/>
  <c r="J34" i="1"/>
  <c r="H34" i="1"/>
  <c r="G34" i="1"/>
  <c r="E34" i="1"/>
  <c r="D34" i="1"/>
  <c r="C34" i="1"/>
  <c r="B34" i="1"/>
  <c r="A34" i="1"/>
  <c r="CE33" i="1"/>
  <c r="CD33" i="1"/>
  <c r="CB33" i="1"/>
  <c r="CA33" i="1"/>
  <c r="BY33" i="1"/>
  <c r="BX33" i="1"/>
  <c r="BV33" i="1"/>
  <c r="BU33" i="1"/>
  <c r="BS33" i="1"/>
  <c r="BR33" i="1"/>
  <c r="BP33" i="1"/>
  <c r="BO33" i="1"/>
  <c r="BM33" i="1"/>
  <c r="BL33" i="1"/>
  <c r="BJ33" i="1"/>
  <c r="BI33" i="1"/>
  <c r="BG33" i="1"/>
  <c r="BF33" i="1"/>
  <c r="BD33" i="1"/>
  <c r="BC33" i="1"/>
  <c r="BA33" i="1"/>
  <c r="AZ33" i="1"/>
  <c r="AU33" i="1"/>
  <c r="AT33" i="1"/>
  <c r="AR33" i="1"/>
  <c r="AQ33" i="1"/>
  <c r="AO33" i="1"/>
  <c r="AN33" i="1"/>
  <c r="AL33" i="1"/>
  <c r="AK33" i="1"/>
  <c r="AI33" i="1"/>
  <c r="AH33" i="1"/>
  <c r="AF33" i="1"/>
  <c r="AE33" i="1"/>
  <c r="AC33" i="1"/>
  <c r="AB33" i="1"/>
  <c r="Z33" i="1"/>
  <c r="Y33" i="1"/>
  <c r="AA33" i="1" s="1"/>
  <c r="W33" i="1"/>
  <c r="V33" i="1"/>
  <c r="T33" i="1"/>
  <c r="S33" i="1"/>
  <c r="Q33" i="1"/>
  <c r="P33" i="1"/>
  <c r="N33" i="1"/>
  <c r="M33" i="1"/>
  <c r="K33" i="1"/>
  <c r="J33" i="1"/>
  <c r="H33" i="1"/>
  <c r="G33" i="1"/>
  <c r="E33" i="1"/>
  <c r="D33" i="1"/>
  <c r="C33" i="1"/>
  <c r="B33" i="1"/>
  <c r="A33" i="1"/>
  <c r="CE32" i="1"/>
  <c r="CD32" i="1"/>
  <c r="CB32" i="1"/>
  <c r="CA32" i="1"/>
  <c r="BY32" i="1"/>
  <c r="BX32" i="1"/>
  <c r="BV32" i="1"/>
  <c r="BU32" i="1"/>
  <c r="BS32" i="1"/>
  <c r="BR32" i="1"/>
  <c r="BP32" i="1"/>
  <c r="BO32" i="1"/>
  <c r="BM32" i="1"/>
  <c r="BL32" i="1"/>
  <c r="BJ32" i="1"/>
  <c r="BI32" i="1"/>
  <c r="BG32" i="1"/>
  <c r="BF32" i="1"/>
  <c r="BD32" i="1"/>
  <c r="BC32" i="1"/>
  <c r="BA32" i="1"/>
  <c r="AZ32" i="1"/>
  <c r="AU32" i="1"/>
  <c r="AT32" i="1"/>
  <c r="AR32" i="1"/>
  <c r="AQ32" i="1"/>
  <c r="AO32" i="1"/>
  <c r="AN32" i="1"/>
  <c r="AL32" i="1"/>
  <c r="AK32" i="1"/>
  <c r="AI32" i="1"/>
  <c r="AH32" i="1"/>
  <c r="AF32" i="1"/>
  <c r="AE32" i="1"/>
  <c r="AC32" i="1"/>
  <c r="AB32" i="1"/>
  <c r="Z32" i="1"/>
  <c r="Y32" i="1"/>
  <c r="W32" i="1"/>
  <c r="V32" i="1"/>
  <c r="T32" i="1"/>
  <c r="S32" i="1"/>
  <c r="Q32" i="1"/>
  <c r="P32" i="1"/>
  <c r="N32" i="1"/>
  <c r="M32" i="1"/>
  <c r="K32" i="1"/>
  <c r="J32" i="1"/>
  <c r="H32" i="1"/>
  <c r="G32" i="1"/>
  <c r="E32" i="1"/>
  <c r="D32" i="1"/>
  <c r="C32" i="1"/>
  <c r="B32" i="1"/>
  <c r="A32" i="1"/>
  <c r="CE31" i="1"/>
  <c r="CD31" i="1"/>
  <c r="CB31" i="1"/>
  <c r="CA31" i="1"/>
  <c r="BY31" i="1"/>
  <c r="BX31" i="1"/>
  <c r="BV31" i="1"/>
  <c r="BU31" i="1"/>
  <c r="BS31" i="1"/>
  <c r="BR31" i="1"/>
  <c r="BP31" i="1"/>
  <c r="BO31" i="1"/>
  <c r="BM31" i="1"/>
  <c r="BL31" i="1"/>
  <c r="BJ31" i="1"/>
  <c r="BI31" i="1"/>
  <c r="BG31" i="1"/>
  <c r="BF31" i="1"/>
  <c r="BD31" i="1"/>
  <c r="BC31" i="1"/>
  <c r="BA31" i="1"/>
  <c r="AZ31" i="1"/>
  <c r="AU31" i="1"/>
  <c r="AT31" i="1"/>
  <c r="AR31" i="1"/>
  <c r="AQ31" i="1"/>
  <c r="AO31" i="1"/>
  <c r="AN31" i="1"/>
  <c r="AL31" i="1"/>
  <c r="AK31" i="1"/>
  <c r="AI31" i="1"/>
  <c r="AH31" i="1"/>
  <c r="AF31" i="1"/>
  <c r="AE31" i="1"/>
  <c r="AC31" i="1"/>
  <c r="AB31" i="1"/>
  <c r="Z31" i="1"/>
  <c r="Y31" i="1"/>
  <c r="W31" i="1"/>
  <c r="V31" i="1"/>
  <c r="T31" i="1"/>
  <c r="S31" i="1"/>
  <c r="Q31" i="1"/>
  <c r="P31" i="1"/>
  <c r="N31" i="1"/>
  <c r="M31" i="1"/>
  <c r="K31" i="1"/>
  <c r="J31" i="1"/>
  <c r="H31" i="1"/>
  <c r="G31" i="1"/>
  <c r="E31" i="1"/>
  <c r="D31" i="1"/>
  <c r="C31" i="1"/>
  <c r="B31" i="1"/>
  <c r="A31" i="1"/>
  <c r="CE30" i="1"/>
  <c r="CD30" i="1"/>
  <c r="CB30" i="1"/>
  <c r="CA30" i="1"/>
  <c r="BY30" i="1"/>
  <c r="BX30" i="1"/>
  <c r="BV30" i="1"/>
  <c r="BU30" i="1"/>
  <c r="BS30" i="1"/>
  <c r="BR30" i="1"/>
  <c r="BP30" i="1"/>
  <c r="BO30" i="1"/>
  <c r="BM30" i="1"/>
  <c r="BL30" i="1"/>
  <c r="BJ30" i="1"/>
  <c r="BI30" i="1"/>
  <c r="BG30" i="1"/>
  <c r="BF30" i="1"/>
  <c r="BD30" i="1"/>
  <c r="BC30" i="1"/>
  <c r="BA30" i="1"/>
  <c r="AZ30" i="1"/>
  <c r="AU30" i="1"/>
  <c r="AT30" i="1"/>
  <c r="AR30" i="1"/>
  <c r="AQ30" i="1"/>
  <c r="AO30" i="1"/>
  <c r="AN30" i="1"/>
  <c r="AL30" i="1"/>
  <c r="AK30" i="1"/>
  <c r="AI30" i="1"/>
  <c r="AH30" i="1"/>
  <c r="AF30" i="1"/>
  <c r="AE30" i="1"/>
  <c r="AC30" i="1"/>
  <c r="AB30" i="1"/>
  <c r="Z30" i="1"/>
  <c r="Y30" i="1"/>
  <c r="W30" i="1"/>
  <c r="V30" i="1"/>
  <c r="T30" i="1"/>
  <c r="S30" i="1"/>
  <c r="Q30" i="1"/>
  <c r="P30" i="1"/>
  <c r="N30" i="1"/>
  <c r="M30" i="1"/>
  <c r="K30" i="1"/>
  <c r="J30" i="1"/>
  <c r="H30" i="1"/>
  <c r="G30" i="1"/>
  <c r="E30" i="1"/>
  <c r="D30" i="1"/>
  <c r="C30" i="1"/>
  <c r="B30" i="1"/>
  <c r="A30" i="1"/>
  <c r="CE29" i="1"/>
  <c r="CD29" i="1"/>
  <c r="CB29" i="1"/>
  <c r="CA29" i="1"/>
  <c r="BY29" i="1"/>
  <c r="BX29" i="1"/>
  <c r="BV29" i="1"/>
  <c r="BU29" i="1"/>
  <c r="BS29" i="1"/>
  <c r="BR29" i="1"/>
  <c r="BP29" i="1"/>
  <c r="BO29" i="1"/>
  <c r="BM29" i="1"/>
  <c r="BL29" i="1"/>
  <c r="BJ29" i="1"/>
  <c r="BI29" i="1"/>
  <c r="BG29" i="1"/>
  <c r="BF29" i="1"/>
  <c r="BD29" i="1"/>
  <c r="BC29" i="1"/>
  <c r="BA29" i="1"/>
  <c r="AZ29" i="1"/>
  <c r="AU29" i="1"/>
  <c r="AT29" i="1"/>
  <c r="AR29" i="1"/>
  <c r="AQ29" i="1"/>
  <c r="AO29" i="1"/>
  <c r="AN29" i="1"/>
  <c r="AL29" i="1"/>
  <c r="AK29" i="1"/>
  <c r="AI29" i="1"/>
  <c r="AH29" i="1"/>
  <c r="AF29" i="1"/>
  <c r="AE29" i="1"/>
  <c r="AC29" i="1"/>
  <c r="AB29" i="1"/>
  <c r="Z29" i="1"/>
  <c r="Y29" i="1"/>
  <c r="W29" i="1"/>
  <c r="V29" i="1"/>
  <c r="T29" i="1"/>
  <c r="S29" i="1"/>
  <c r="Q29" i="1"/>
  <c r="P29" i="1"/>
  <c r="N29" i="1"/>
  <c r="M29" i="1"/>
  <c r="O29" i="1" s="1"/>
  <c r="K29" i="1"/>
  <c r="J29" i="1"/>
  <c r="H29" i="1"/>
  <c r="G29" i="1"/>
  <c r="E29" i="1"/>
  <c r="D29" i="1"/>
  <c r="C29" i="1"/>
  <c r="B29" i="1"/>
  <c r="A29" i="1"/>
  <c r="CE28" i="1"/>
  <c r="CD28" i="1"/>
  <c r="CB28" i="1"/>
  <c r="CA28" i="1"/>
  <c r="BY28" i="1"/>
  <c r="BX28" i="1"/>
  <c r="BV28" i="1"/>
  <c r="BU28" i="1"/>
  <c r="BS28" i="1"/>
  <c r="BR28" i="1"/>
  <c r="BP28" i="1"/>
  <c r="BO28" i="1"/>
  <c r="BM28" i="1"/>
  <c r="BL28" i="1"/>
  <c r="BN28" i="1" s="1"/>
  <c r="BJ28" i="1"/>
  <c r="BI28" i="1"/>
  <c r="BG28" i="1"/>
  <c r="BF28" i="1"/>
  <c r="BD28" i="1"/>
  <c r="BC28" i="1"/>
  <c r="BA28" i="1"/>
  <c r="AZ28" i="1"/>
  <c r="AU28" i="1"/>
  <c r="AT28" i="1"/>
  <c r="AR28" i="1"/>
  <c r="AQ28" i="1"/>
  <c r="AO28" i="1"/>
  <c r="AN28" i="1"/>
  <c r="AL28" i="1"/>
  <c r="AK28" i="1"/>
  <c r="AI28" i="1"/>
  <c r="AH28" i="1"/>
  <c r="AF28" i="1"/>
  <c r="AE28" i="1"/>
  <c r="AC28" i="1"/>
  <c r="AB28" i="1"/>
  <c r="Z28" i="1"/>
  <c r="Y28" i="1"/>
  <c r="W28" i="1"/>
  <c r="V28" i="1"/>
  <c r="T28" i="1"/>
  <c r="S28" i="1"/>
  <c r="Q28" i="1"/>
  <c r="P28" i="1"/>
  <c r="N28" i="1"/>
  <c r="M28" i="1"/>
  <c r="K28" i="1"/>
  <c r="J28" i="1"/>
  <c r="H28" i="1"/>
  <c r="G28" i="1"/>
  <c r="E28" i="1"/>
  <c r="D28" i="1"/>
  <c r="C28" i="1"/>
  <c r="B28" i="1"/>
  <c r="A28" i="1"/>
  <c r="CE27" i="1"/>
  <c r="CD27" i="1"/>
  <c r="CB27" i="1"/>
  <c r="CA27" i="1"/>
  <c r="BY27" i="1"/>
  <c r="BX27" i="1"/>
  <c r="BV27" i="1"/>
  <c r="BU27" i="1"/>
  <c r="BS27" i="1"/>
  <c r="BR27" i="1"/>
  <c r="BP27" i="1"/>
  <c r="BO27" i="1"/>
  <c r="BM27" i="1"/>
  <c r="BL27" i="1"/>
  <c r="BJ27" i="1"/>
  <c r="BI27" i="1"/>
  <c r="BG27" i="1"/>
  <c r="BF27" i="1"/>
  <c r="BD27" i="1"/>
  <c r="BC27" i="1"/>
  <c r="BA27" i="1"/>
  <c r="AZ27" i="1"/>
  <c r="AU27" i="1"/>
  <c r="AT27" i="1"/>
  <c r="AR27" i="1"/>
  <c r="AQ27" i="1"/>
  <c r="AO27" i="1"/>
  <c r="AN27" i="1"/>
  <c r="AL27" i="1"/>
  <c r="AK27" i="1"/>
  <c r="AI27" i="1"/>
  <c r="AH27" i="1"/>
  <c r="AF27" i="1"/>
  <c r="AE27" i="1"/>
  <c r="AC27" i="1"/>
  <c r="AB27" i="1"/>
  <c r="Z27" i="1"/>
  <c r="Y27" i="1"/>
  <c r="W27" i="1"/>
  <c r="V27" i="1"/>
  <c r="T27" i="1"/>
  <c r="S27" i="1"/>
  <c r="Q27" i="1"/>
  <c r="P27" i="1"/>
  <c r="N27" i="1"/>
  <c r="M27" i="1"/>
  <c r="K27" i="1"/>
  <c r="J27" i="1"/>
  <c r="H27" i="1"/>
  <c r="G27" i="1"/>
  <c r="E27" i="1"/>
  <c r="D27" i="1"/>
  <c r="C27" i="1"/>
  <c r="B27" i="1"/>
  <c r="A27" i="1"/>
  <c r="CE26" i="1"/>
  <c r="CD26" i="1"/>
  <c r="CB26" i="1"/>
  <c r="CA26" i="1"/>
  <c r="BY26" i="1"/>
  <c r="BX26" i="1"/>
  <c r="BV26" i="1"/>
  <c r="BU26" i="1"/>
  <c r="BS26" i="1"/>
  <c r="BR26" i="1"/>
  <c r="BP26" i="1"/>
  <c r="BO26" i="1"/>
  <c r="BM26" i="1"/>
  <c r="BL26" i="1"/>
  <c r="BJ26" i="1"/>
  <c r="BI26" i="1"/>
  <c r="BG26" i="1"/>
  <c r="BF26" i="1"/>
  <c r="BD26" i="1"/>
  <c r="BC26" i="1"/>
  <c r="BA26" i="1"/>
  <c r="AZ26" i="1"/>
  <c r="AU26" i="1"/>
  <c r="AT26" i="1"/>
  <c r="AR26" i="1"/>
  <c r="AQ26" i="1"/>
  <c r="AO26" i="1"/>
  <c r="AN26" i="1"/>
  <c r="AL26" i="1"/>
  <c r="AK26" i="1"/>
  <c r="AI26" i="1"/>
  <c r="AH26" i="1"/>
  <c r="AF26" i="1"/>
  <c r="AE26" i="1"/>
  <c r="AC26" i="1"/>
  <c r="AB26" i="1"/>
  <c r="AD26" i="1" s="1"/>
  <c r="Z26" i="1"/>
  <c r="Y26" i="1"/>
  <c r="W26" i="1"/>
  <c r="V26" i="1"/>
  <c r="T26" i="1"/>
  <c r="S26" i="1"/>
  <c r="Q26" i="1"/>
  <c r="P26" i="1"/>
  <c r="N26" i="1"/>
  <c r="M26" i="1"/>
  <c r="O26" i="1" s="1"/>
  <c r="K26" i="1"/>
  <c r="J26" i="1"/>
  <c r="H26" i="1"/>
  <c r="G26" i="1"/>
  <c r="E26" i="1"/>
  <c r="D26" i="1"/>
  <c r="C26" i="1"/>
  <c r="B26" i="1"/>
  <c r="A26" i="1"/>
  <c r="CE25" i="1"/>
  <c r="CD25" i="1"/>
  <c r="CB25" i="1"/>
  <c r="CA25" i="1"/>
  <c r="BY25" i="1"/>
  <c r="BX25" i="1"/>
  <c r="BV25" i="1"/>
  <c r="BU25" i="1"/>
  <c r="BS25" i="1"/>
  <c r="BR25" i="1"/>
  <c r="BP25" i="1"/>
  <c r="BO25" i="1"/>
  <c r="BM25" i="1"/>
  <c r="BL25" i="1"/>
  <c r="BJ25" i="1"/>
  <c r="BI25" i="1"/>
  <c r="BG25" i="1"/>
  <c r="BF25" i="1"/>
  <c r="BD25" i="1"/>
  <c r="BC25" i="1"/>
  <c r="BA25" i="1"/>
  <c r="AZ25" i="1"/>
  <c r="AU25" i="1"/>
  <c r="AT25" i="1"/>
  <c r="AR25" i="1"/>
  <c r="AQ25" i="1"/>
  <c r="AO25" i="1"/>
  <c r="AN25" i="1"/>
  <c r="AL25" i="1"/>
  <c r="AK25" i="1"/>
  <c r="AI25" i="1"/>
  <c r="AH25" i="1"/>
  <c r="AF25" i="1"/>
  <c r="AE25" i="1"/>
  <c r="AC25" i="1"/>
  <c r="AB25" i="1"/>
  <c r="Z25" i="1"/>
  <c r="Y25" i="1"/>
  <c r="W25" i="1"/>
  <c r="V25" i="1"/>
  <c r="T25" i="1"/>
  <c r="S25" i="1"/>
  <c r="Q25" i="1"/>
  <c r="P25" i="1"/>
  <c r="N25" i="1"/>
  <c r="M25" i="1"/>
  <c r="K25" i="1"/>
  <c r="J25" i="1"/>
  <c r="H25" i="1"/>
  <c r="G25" i="1"/>
  <c r="E25" i="1"/>
  <c r="D25" i="1"/>
  <c r="C25" i="1"/>
  <c r="B25" i="1"/>
  <c r="A25" i="1"/>
  <c r="CE24" i="1"/>
  <c r="CD24" i="1"/>
  <c r="CB24" i="1"/>
  <c r="CA24" i="1"/>
  <c r="BY24" i="1"/>
  <c r="BX24" i="1"/>
  <c r="BV24" i="1"/>
  <c r="BU24" i="1"/>
  <c r="BS24" i="1"/>
  <c r="BR24" i="1"/>
  <c r="BP24" i="1"/>
  <c r="BO24" i="1"/>
  <c r="BM24" i="1"/>
  <c r="BL24" i="1"/>
  <c r="BJ24" i="1"/>
  <c r="BI24" i="1"/>
  <c r="BG24" i="1"/>
  <c r="BF24" i="1"/>
  <c r="BD24" i="1"/>
  <c r="BC24" i="1"/>
  <c r="BA24" i="1"/>
  <c r="AZ24" i="1"/>
  <c r="AU24" i="1"/>
  <c r="AT24" i="1"/>
  <c r="AR24" i="1"/>
  <c r="AQ24" i="1"/>
  <c r="AO24" i="1"/>
  <c r="AN24" i="1"/>
  <c r="AL24" i="1"/>
  <c r="AK24" i="1"/>
  <c r="AI24" i="1"/>
  <c r="AH24" i="1"/>
  <c r="AF24" i="1"/>
  <c r="AE24" i="1"/>
  <c r="AC24" i="1"/>
  <c r="AB24" i="1"/>
  <c r="Z24" i="1"/>
  <c r="Y24" i="1"/>
  <c r="W24" i="1"/>
  <c r="V24" i="1"/>
  <c r="T24" i="1"/>
  <c r="S24" i="1"/>
  <c r="Q24" i="1"/>
  <c r="P24" i="1"/>
  <c r="N24" i="1"/>
  <c r="M24" i="1"/>
  <c r="K24" i="1"/>
  <c r="J24" i="1"/>
  <c r="H24" i="1"/>
  <c r="G24" i="1"/>
  <c r="E24" i="1"/>
  <c r="D24" i="1"/>
  <c r="C24" i="1"/>
  <c r="B24" i="1"/>
  <c r="A24" i="1"/>
  <c r="CE23" i="1"/>
  <c r="CD23" i="1"/>
  <c r="CB23" i="1"/>
  <c r="CA23" i="1"/>
  <c r="CC23" i="1" s="1"/>
  <c r="BY23" i="1"/>
  <c r="BX23" i="1"/>
  <c r="BV23" i="1"/>
  <c r="BU23" i="1"/>
  <c r="BS23" i="1"/>
  <c r="BR23" i="1"/>
  <c r="BP23" i="1"/>
  <c r="BO23" i="1"/>
  <c r="BM23" i="1"/>
  <c r="BL23" i="1"/>
  <c r="BJ23" i="1"/>
  <c r="BI23" i="1"/>
  <c r="BG23" i="1"/>
  <c r="BF23" i="1"/>
  <c r="BD23" i="1"/>
  <c r="BC23" i="1"/>
  <c r="BA23" i="1"/>
  <c r="AZ23" i="1"/>
  <c r="AU23" i="1"/>
  <c r="AT23" i="1"/>
  <c r="AR23" i="1"/>
  <c r="AQ23" i="1"/>
  <c r="AO23" i="1"/>
  <c r="AN23" i="1"/>
  <c r="AL23" i="1"/>
  <c r="AK23" i="1"/>
  <c r="AI23" i="1"/>
  <c r="AH23" i="1"/>
  <c r="AF23" i="1"/>
  <c r="AE23" i="1"/>
  <c r="AC23" i="1"/>
  <c r="AB23" i="1"/>
  <c r="Z23" i="1"/>
  <c r="Y23" i="1"/>
  <c r="W23" i="1"/>
  <c r="V23" i="1"/>
  <c r="T23" i="1"/>
  <c r="S23" i="1"/>
  <c r="Q23" i="1"/>
  <c r="P23" i="1"/>
  <c r="N23" i="1"/>
  <c r="M23" i="1"/>
  <c r="K23" i="1"/>
  <c r="J23" i="1"/>
  <c r="L23" i="1" s="1"/>
  <c r="H23" i="1"/>
  <c r="G23" i="1"/>
  <c r="E23" i="1"/>
  <c r="D23" i="1"/>
  <c r="C23" i="1"/>
  <c r="B23" i="1"/>
  <c r="A23" i="1"/>
  <c r="CE22" i="1"/>
  <c r="CD22" i="1"/>
  <c r="CB22" i="1"/>
  <c r="CA22" i="1"/>
  <c r="BY22" i="1"/>
  <c r="BX22" i="1"/>
  <c r="BV22" i="1"/>
  <c r="BU22" i="1"/>
  <c r="BS22" i="1"/>
  <c r="BR22" i="1"/>
  <c r="BP22" i="1"/>
  <c r="BO22" i="1"/>
  <c r="BM22" i="1"/>
  <c r="BL22" i="1"/>
  <c r="BJ22" i="1"/>
  <c r="BI22" i="1"/>
  <c r="BG22" i="1"/>
  <c r="BF22" i="1"/>
  <c r="BD22" i="1"/>
  <c r="BC22" i="1"/>
  <c r="BA22" i="1"/>
  <c r="AZ22" i="1"/>
  <c r="AU22" i="1"/>
  <c r="AT22" i="1"/>
  <c r="AR22" i="1"/>
  <c r="AQ22" i="1"/>
  <c r="AO22" i="1"/>
  <c r="AN22" i="1"/>
  <c r="AL22" i="1"/>
  <c r="AK22" i="1"/>
  <c r="AI22" i="1"/>
  <c r="AH22" i="1"/>
  <c r="AF22" i="1"/>
  <c r="AE22" i="1"/>
  <c r="AC22" i="1"/>
  <c r="AB22" i="1"/>
  <c r="Z22" i="1"/>
  <c r="Y22" i="1"/>
  <c r="W22" i="1"/>
  <c r="V22" i="1"/>
  <c r="T22" i="1"/>
  <c r="S22" i="1"/>
  <c r="Q22" i="1"/>
  <c r="P22" i="1"/>
  <c r="N22" i="1"/>
  <c r="M22" i="1"/>
  <c r="K22" i="1"/>
  <c r="J22" i="1"/>
  <c r="H22" i="1"/>
  <c r="G22" i="1"/>
  <c r="E22" i="1"/>
  <c r="D22" i="1"/>
  <c r="C22" i="1"/>
  <c r="B22" i="1"/>
  <c r="A22" i="1"/>
  <c r="CE21" i="1"/>
  <c r="CD21" i="1"/>
  <c r="CB21" i="1"/>
  <c r="CA21" i="1"/>
  <c r="BY21" i="1"/>
  <c r="BX21" i="1"/>
  <c r="BV21" i="1"/>
  <c r="BU21" i="1"/>
  <c r="BS21" i="1"/>
  <c r="BR21" i="1"/>
  <c r="BP21" i="1"/>
  <c r="BO21" i="1"/>
  <c r="BM21" i="1"/>
  <c r="BL21" i="1"/>
  <c r="BJ21" i="1"/>
  <c r="BI21" i="1"/>
  <c r="BG21" i="1"/>
  <c r="BF21" i="1"/>
  <c r="BD21" i="1"/>
  <c r="BC21" i="1"/>
  <c r="BA21" i="1"/>
  <c r="AZ21" i="1"/>
  <c r="AU21" i="1"/>
  <c r="AT21" i="1"/>
  <c r="AR21" i="1"/>
  <c r="AQ21" i="1"/>
  <c r="AO21" i="1"/>
  <c r="AN21" i="1"/>
  <c r="AL21" i="1"/>
  <c r="AK21" i="1"/>
  <c r="AI21" i="1"/>
  <c r="AH21" i="1"/>
  <c r="AF21" i="1"/>
  <c r="AE21" i="1"/>
  <c r="AC21" i="1"/>
  <c r="AB21" i="1"/>
  <c r="Z21" i="1"/>
  <c r="Y21" i="1"/>
  <c r="W21" i="1"/>
  <c r="V21" i="1"/>
  <c r="T21" i="1"/>
  <c r="S21" i="1"/>
  <c r="Q21" i="1"/>
  <c r="P21" i="1"/>
  <c r="N21" i="1"/>
  <c r="M21" i="1"/>
  <c r="K21" i="1"/>
  <c r="J21" i="1"/>
  <c r="H21" i="1"/>
  <c r="G21" i="1"/>
  <c r="E21" i="1"/>
  <c r="D21" i="1"/>
  <c r="C21" i="1"/>
  <c r="B21" i="1"/>
  <c r="A21" i="1"/>
  <c r="CE20" i="1"/>
  <c r="CD20" i="1"/>
  <c r="CB20" i="1"/>
  <c r="CA20" i="1"/>
  <c r="BY20" i="1"/>
  <c r="BX20" i="1"/>
  <c r="BV20" i="1"/>
  <c r="BU20" i="1"/>
  <c r="BS20" i="1"/>
  <c r="BR20" i="1"/>
  <c r="BP20" i="1"/>
  <c r="BO20" i="1"/>
  <c r="BQ20" i="1" s="1"/>
  <c r="BM20" i="1"/>
  <c r="BL20" i="1"/>
  <c r="BJ20" i="1"/>
  <c r="BI20" i="1"/>
  <c r="BG20" i="1"/>
  <c r="BF20" i="1"/>
  <c r="BD20" i="1"/>
  <c r="BC20" i="1"/>
  <c r="BA20" i="1"/>
  <c r="AZ20" i="1"/>
  <c r="AU20" i="1"/>
  <c r="AT20" i="1"/>
  <c r="AR20" i="1"/>
  <c r="AQ20" i="1"/>
  <c r="AO20" i="1"/>
  <c r="AN20" i="1"/>
  <c r="AL20" i="1"/>
  <c r="AK20" i="1"/>
  <c r="AI20" i="1"/>
  <c r="AH20" i="1"/>
  <c r="AF20" i="1"/>
  <c r="AE20" i="1"/>
  <c r="AC20" i="1"/>
  <c r="AB20" i="1"/>
  <c r="Z20" i="1"/>
  <c r="Y20" i="1"/>
  <c r="W20" i="1"/>
  <c r="V20" i="1"/>
  <c r="T20" i="1"/>
  <c r="S20" i="1"/>
  <c r="Q20" i="1"/>
  <c r="P20" i="1"/>
  <c r="N20" i="1"/>
  <c r="M20" i="1"/>
  <c r="K20" i="1"/>
  <c r="J20" i="1"/>
  <c r="H20" i="1"/>
  <c r="G20" i="1"/>
  <c r="E20" i="1"/>
  <c r="D20" i="1"/>
  <c r="C20" i="1"/>
  <c r="B20" i="1"/>
  <c r="A20" i="1"/>
  <c r="CE19" i="1"/>
  <c r="CD19" i="1"/>
  <c r="CB19" i="1"/>
  <c r="CA19" i="1"/>
  <c r="BY19" i="1"/>
  <c r="BX19" i="1"/>
  <c r="BV19" i="1"/>
  <c r="BU19" i="1"/>
  <c r="BS19" i="1"/>
  <c r="BR19" i="1"/>
  <c r="BP19" i="1"/>
  <c r="BO19" i="1"/>
  <c r="BM19" i="1"/>
  <c r="BL19" i="1"/>
  <c r="BJ19" i="1"/>
  <c r="BI19" i="1"/>
  <c r="BG19" i="1"/>
  <c r="BF19" i="1"/>
  <c r="BD19" i="1"/>
  <c r="BC19" i="1"/>
  <c r="BA19" i="1"/>
  <c r="AZ19" i="1"/>
  <c r="AU19" i="1"/>
  <c r="AT19" i="1"/>
  <c r="AR19" i="1"/>
  <c r="AQ19" i="1"/>
  <c r="AO19" i="1"/>
  <c r="AN19" i="1"/>
  <c r="AL19" i="1"/>
  <c r="AK19" i="1"/>
  <c r="AI19" i="1"/>
  <c r="AH19" i="1"/>
  <c r="AF19" i="1"/>
  <c r="AE19" i="1"/>
  <c r="AC19" i="1"/>
  <c r="AB19" i="1"/>
  <c r="Z19" i="1"/>
  <c r="Y19" i="1"/>
  <c r="W19" i="1"/>
  <c r="V19" i="1"/>
  <c r="T19" i="1"/>
  <c r="S19" i="1"/>
  <c r="Q19" i="1"/>
  <c r="P19" i="1"/>
  <c r="N19" i="1"/>
  <c r="M19" i="1"/>
  <c r="K19" i="1"/>
  <c r="J19" i="1"/>
  <c r="H19" i="1"/>
  <c r="G19" i="1"/>
  <c r="E19" i="1"/>
  <c r="D19" i="1"/>
  <c r="C19" i="1"/>
  <c r="B19" i="1"/>
  <c r="A19" i="1"/>
  <c r="CE18" i="1"/>
  <c r="CD18" i="1"/>
  <c r="CB18" i="1"/>
  <c r="CA18" i="1"/>
  <c r="BY18" i="1"/>
  <c r="BX18" i="1"/>
  <c r="BV18" i="1"/>
  <c r="BU18" i="1"/>
  <c r="BS18" i="1"/>
  <c r="BR18" i="1"/>
  <c r="BP18" i="1"/>
  <c r="BO18" i="1"/>
  <c r="BM18" i="1"/>
  <c r="BL18" i="1"/>
  <c r="BJ18" i="1"/>
  <c r="BI18" i="1"/>
  <c r="BG18" i="1"/>
  <c r="BF18" i="1"/>
  <c r="BD18" i="1"/>
  <c r="BC18" i="1"/>
  <c r="BA18" i="1"/>
  <c r="AZ18" i="1"/>
  <c r="AU18" i="1"/>
  <c r="AT18" i="1"/>
  <c r="AR18" i="1"/>
  <c r="AQ18" i="1"/>
  <c r="AO18" i="1"/>
  <c r="AN18" i="1"/>
  <c r="AL18" i="1"/>
  <c r="AK18" i="1"/>
  <c r="AI18" i="1"/>
  <c r="AH18" i="1"/>
  <c r="AF18" i="1"/>
  <c r="AE18" i="1"/>
  <c r="AC18" i="1"/>
  <c r="AB18" i="1"/>
  <c r="Z18" i="1"/>
  <c r="Y18" i="1"/>
  <c r="W18" i="1"/>
  <c r="V18" i="1"/>
  <c r="T18" i="1"/>
  <c r="S18" i="1"/>
  <c r="Q18" i="1"/>
  <c r="P18" i="1"/>
  <c r="N18" i="1"/>
  <c r="M18" i="1"/>
  <c r="K18" i="1"/>
  <c r="J18" i="1"/>
  <c r="H18" i="1"/>
  <c r="G18" i="1"/>
  <c r="E18" i="1"/>
  <c r="D18" i="1"/>
  <c r="C18" i="1"/>
  <c r="B18" i="1"/>
  <c r="A18" i="1"/>
  <c r="CE17" i="1"/>
  <c r="CD17" i="1"/>
  <c r="CB17" i="1"/>
  <c r="CA17" i="1"/>
  <c r="BY17" i="1"/>
  <c r="BX17" i="1"/>
  <c r="BV17" i="1"/>
  <c r="BU17" i="1"/>
  <c r="BS17" i="1"/>
  <c r="BR17" i="1"/>
  <c r="BP17" i="1"/>
  <c r="BO17" i="1"/>
  <c r="BM17" i="1"/>
  <c r="BL17" i="1"/>
  <c r="BJ17" i="1"/>
  <c r="BI17" i="1"/>
  <c r="BG17" i="1"/>
  <c r="BF17" i="1"/>
  <c r="BD17" i="1"/>
  <c r="BC17" i="1"/>
  <c r="BA17" i="1"/>
  <c r="AZ17" i="1"/>
  <c r="BB17" i="1" s="1"/>
  <c r="AU17" i="1"/>
  <c r="AT17" i="1"/>
  <c r="AR17" i="1"/>
  <c r="AQ17" i="1"/>
  <c r="AO17" i="1"/>
  <c r="AN17" i="1"/>
  <c r="AL17" i="1"/>
  <c r="AK17" i="1"/>
  <c r="AI17" i="1"/>
  <c r="AH17" i="1"/>
  <c r="AF17" i="1"/>
  <c r="AE17" i="1"/>
  <c r="AC17" i="1"/>
  <c r="AB17" i="1"/>
  <c r="Z17" i="1"/>
  <c r="Y17" i="1"/>
  <c r="W17" i="1"/>
  <c r="V17" i="1"/>
  <c r="T17" i="1"/>
  <c r="S17" i="1"/>
  <c r="Q17" i="1"/>
  <c r="P17" i="1"/>
  <c r="N17" i="1"/>
  <c r="M17" i="1"/>
  <c r="K17" i="1"/>
  <c r="J17" i="1"/>
  <c r="H17" i="1"/>
  <c r="G17" i="1"/>
  <c r="E17" i="1"/>
  <c r="D17" i="1"/>
  <c r="C17" i="1"/>
  <c r="B17" i="1"/>
  <c r="A17" i="1"/>
  <c r="CE16" i="1"/>
  <c r="CD16" i="1"/>
  <c r="CB16" i="1"/>
  <c r="CA16" i="1"/>
  <c r="BY16" i="1"/>
  <c r="BX16" i="1"/>
  <c r="BV16" i="1"/>
  <c r="BU16" i="1"/>
  <c r="BS16" i="1"/>
  <c r="BR16" i="1"/>
  <c r="BP16" i="1"/>
  <c r="BO16" i="1"/>
  <c r="BM16" i="1"/>
  <c r="BL16" i="1"/>
  <c r="BJ16" i="1"/>
  <c r="BI16" i="1"/>
  <c r="BG16" i="1"/>
  <c r="BF16" i="1"/>
  <c r="BD16" i="1"/>
  <c r="BC16" i="1"/>
  <c r="BA16" i="1"/>
  <c r="AZ16" i="1"/>
  <c r="AU16" i="1"/>
  <c r="AT16" i="1"/>
  <c r="AR16" i="1"/>
  <c r="AQ16" i="1"/>
  <c r="AO16" i="1"/>
  <c r="AN16" i="1"/>
  <c r="AL16" i="1"/>
  <c r="AK16" i="1"/>
  <c r="AI16" i="1"/>
  <c r="AH16" i="1"/>
  <c r="AF16" i="1"/>
  <c r="AE16" i="1"/>
  <c r="AC16" i="1"/>
  <c r="AB16" i="1"/>
  <c r="Z16" i="1"/>
  <c r="Y16" i="1"/>
  <c r="W16" i="1"/>
  <c r="V16" i="1"/>
  <c r="T16" i="1"/>
  <c r="S16" i="1"/>
  <c r="Q16" i="1"/>
  <c r="P16" i="1"/>
  <c r="N16" i="1"/>
  <c r="M16" i="1"/>
  <c r="K16" i="1"/>
  <c r="J16" i="1"/>
  <c r="H16" i="1"/>
  <c r="G16" i="1"/>
  <c r="E16" i="1"/>
  <c r="D16" i="1"/>
  <c r="C16" i="1"/>
  <c r="B16" i="1"/>
  <c r="A16" i="1"/>
  <c r="CE15" i="1"/>
  <c r="CD15" i="1"/>
  <c r="CB15" i="1"/>
  <c r="CA15" i="1"/>
  <c r="BY15" i="1"/>
  <c r="BX15" i="1"/>
  <c r="BV15" i="1"/>
  <c r="BU15" i="1"/>
  <c r="BS15" i="1"/>
  <c r="BR15" i="1"/>
  <c r="BP15" i="1"/>
  <c r="BO15" i="1"/>
  <c r="BM15" i="1"/>
  <c r="BL15" i="1"/>
  <c r="BJ15" i="1"/>
  <c r="BI15" i="1"/>
  <c r="BG15" i="1"/>
  <c r="BF15" i="1"/>
  <c r="BD15" i="1"/>
  <c r="BC15" i="1"/>
  <c r="BA15" i="1"/>
  <c r="AZ15" i="1"/>
  <c r="AU15" i="1"/>
  <c r="AT15" i="1"/>
  <c r="AR15" i="1"/>
  <c r="AQ15" i="1"/>
  <c r="AO15" i="1"/>
  <c r="AN15" i="1"/>
  <c r="AL15" i="1"/>
  <c r="AK15" i="1"/>
  <c r="AI15" i="1"/>
  <c r="AH15" i="1"/>
  <c r="AF15" i="1"/>
  <c r="AE15" i="1"/>
  <c r="AC15" i="1"/>
  <c r="AB15" i="1"/>
  <c r="Z15" i="1"/>
  <c r="Y15" i="1"/>
  <c r="W15" i="1"/>
  <c r="V15" i="1"/>
  <c r="T15" i="1"/>
  <c r="S15" i="1"/>
  <c r="Q15" i="1"/>
  <c r="P15" i="1"/>
  <c r="N15" i="1"/>
  <c r="M15" i="1"/>
  <c r="K15" i="1"/>
  <c r="J15" i="1"/>
  <c r="H15" i="1"/>
  <c r="G15" i="1"/>
  <c r="E15" i="1"/>
  <c r="D15" i="1"/>
  <c r="C15" i="1"/>
  <c r="B15" i="1"/>
  <c r="A15" i="1"/>
  <c r="CE14" i="1"/>
  <c r="CD14" i="1"/>
  <c r="CB14" i="1"/>
  <c r="CA14" i="1"/>
  <c r="BY14" i="1"/>
  <c r="BX14" i="1"/>
  <c r="BV14" i="1"/>
  <c r="BU14" i="1"/>
  <c r="BS14" i="1"/>
  <c r="BR14" i="1"/>
  <c r="BP14" i="1"/>
  <c r="BO14" i="1"/>
  <c r="BM14" i="1"/>
  <c r="BL14" i="1"/>
  <c r="BJ14" i="1"/>
  <c r="BI14" i="1"/>
  <c r="BG14" i="1"/>
  <c r="BF14" i="1"/>
  <c r="BD14" i="1"/>
  <c r="BC14" i="1"/>
  <c r="BA14" i="1"/>
  <c r="AZ14" i="1"/>
  <c r="AU14" i="1"/>
  <c r="AT14" i="1"/>
  <c r="AR14" i="1"/>
  <c r="AQ14" i="1"/>
  <c r="AO14" i="1"/>
  <c r="AN14" i="1"/>
  <c r="AL14" i="1"/>
  <c r="AK14" i="1"/>
  <c r="AI14" i="1"/>
  <c r="AH14" i="1"/>
  <c r="AF14" i="1"/>
  <c r="AE14" i="1"/>
  <c r="AC14" i="1"/>
  <c r="AB14" i="1"/>
  <c r="Z14" i="1"/>
  <c r="Y14" i="1"/>
  <c r="W14" i="1"/>
  <c r="V14" i="1"/>
  <c r="T14" i="1"/>
  <c r="S14" i="1"/>
  <c r="Q14" i="1"/>
  <c r="P14" i="1"/>
  <c r="N14" i="1"/>
  <c r="M14" i="1"/>
  <c r="K14" i="1"/>
  <c r="J14" i="1"/>
  <c r="H14" i="1"/>
  <c r="G14" i="1"/>
  <c r="E14" i="1"/>
  <c r="D14" i="1"/>
  <c r="C14" i="1"/>
  <c r="B14" i="1"/>
  <c r="A14" i="1"/>
  <c r="CE13" i="1"/>
  <c r="CD13" i="1"/>
  <c r="CB13" i="1"/>
  <c r="CA13" i="1"/>
  <c r="BY13" i="1"/>
  <c r="BX13" i="1"/>
  <c r="BV13" i="1"/>
  <c r="BU13" i="1"/>
  <c r="BS13" i="1"/>
  <c r="BR13" i="1"/>
  <c r="BP13" i="1"/>
  <c r="BO13" i="1"/>
  <c r="BM13" i="1"/>
  <c r="BL13" i="1"/>
  <c r="BJ13" i="1"/>
  <c r="BI13" i="1"/>
  <c r="BG13" i="1"/>
  <c r="BF13" i="1"/>
  <c r="BD13" i="1"/>
  <c r="BC13" i="1"/>
  <c r="BA13" i="1"/>
  <c r="AZ13" i="1"/>
  <c r="AU13" i="1"/>
  <c r="AT13" i="1"/>
  <c r="AR13" i="1"/>
  <c r="AQ13" i="1"/>
  <c r="AO13" i="1"/>
  <c r="AN13" i="1"/>
  <c r="AL13" i="1"/>
  <c r="AK13" i="1"/>
  <c r="AI13" i="1"/>
  <c r="AH13" i="1"/>
  <c r="AF13" i="1"/>
  <c r="AE13" i="1"/>
  <c r="AC13" i="1"/>
  <c r="AB13" i="1"/>
  <c r="Z13" i="1"/>
  <c r="Y13" i="1"/>
  <c r="W13" i="1"/>
  <c r="V13" i="1"/>
  <c r="T13" i="1"/>
  <c r="S13" i="1"/>
  <c r="Q13" i="1"/>
  <c r="P13" i="1"/>
  <c r="N13" i="1"/>
  <c r="M13" i="1"/>
  <c r="K13" i="1"/>
  <c r="J13" i="1"/>
  <c r="H13" i="1"/>
  <c r="G13" i="1"/>
  <c r="E13" i="1"/>
  <c r="D13" i="1"/>
  <c r="C13" i="1"/>
  <c r="B13" i="1"/>
  <c r="A13" i="1"/>
  <c r="CE12" i="1"/>
  <c r="CD12" i="1"/>
  <c r="CB12" i="1"/>
  <c r="CA12" i="1"/>
  <c r="BY12" i="1"/>
  <c r="BX12" i="1"/>
  <c r="BV12" i="1"/>
  <c r="BU12" i="1"/>
  <c r="BS12" i="1"/>
  <c r="BR12" i="1"/>
  <c r="BP12" i="1"/>
  <c r="BO12" i="1"/>
  <c r="BM12" i="1"/>
  <c r="BL12" i="1"/>
  <c r="BJ12" i="1"/>
  <c r="BI12" i="1"/>
  <c r="BG12" i="1"/>
  <c r="BF12" i="1"/>
  <c r="BD12" i="1"/>
  <c r="BC12" i="1"/>
  <c r="BA12" i="1"/>
  <c r="AZ12" i="1"/>
  <c r="AU12" i="1"/>
  <c r="AT12" i="1"/>
  <c r="AR12" i="1"/>
  <c r="AQ12" i="1"/>
  <c r="AO12" i="1"/>
  <c r="AN12" i="1"/>
  <c r="AL12" i="1"/>
  <c r="AK12" i="1"/>
  <c r="AI12" i="1"/>
  <c r="AH12" i="1"/>
  <c r="AF12" i="1"/>
  <c r="AE12" i="1"/>
  <c r="AC12" i="1"/>
  <c r="AB12" i="1"/>
  <c r="Z12" i="1"/>
  <c r="Y12" i="1"/>
  <c r="W12" i="1"/>
  <c r="V12" i="1"/>
  <c r="T12" i="1"/>
  <c r="S12" i="1"/>
  <c r="Q12" i="1"/>
  <c r="P12" i="1"/>
  <c r="N12" i="1"/>
  <c r="M12" i="1"/>
  <c r="K12" i="1"/>
  <c r="J12" i="1"/>
  <c r="H12" i="1"/>
  <c r="G12" i="1"/>
  <c r="E12" i="1"/>
  <c r="D12" i="1"/>
  <c r="C12" i="1"/>
  <c r="B12" i="1"/>
  <c r="A12" i="1"/>
  <c r="CE11" i="1"/>
  <c r="CD11" i="1"/>
  <c r="CB11" i="1"/>
  <c r="CA11" i="1"/>
  <c r="BY11" i="1"/>
  <c r="BX11" i="1"/>
  <c r="BV11" i="1"/>
  <c r="BU11" i="1"/>
  <c r="BS11" i="1"/>
  <c r="BR11" i="1"/>
  <c r="BP11" i="1"/>
  <c r="BO11" i="1"/>
  <c r="BM11" i="1"/>
  <c r="BL11" i="1"/>
  <c r="BJ11" i="1"/>
  <c r="BI11" i="1"/>
  <c r="BG11" i="1"/>
  <c r="BF11" i="1"/>
  <c r="BD11" i="1"/>
  <c r="BC11" i="1"/>
  <c r="BA11" i="1"/>
  <c r="AZ11" i="1"/>
  <c r="AU11" i="1"/>
  <c r="AT11" i="1"/>
  <c r="AR11" i="1"/>
  <c r="AQ11" i="1"/>
  <c r="AO11" i="1"/>
  <c r="AN11" i="1"/>
  <c r="AL11" i="1"/>
  <c r="AK11" i="1"/>
  <c r="AI11" i="1"/>
  <c r="AH11" i="1"/>
  <c r="AF11" i="1"/>
  <c r="AE11" i="1"/>
  <c r="AC11" i="1"/>
  <c r="AB11" i="1"/>
  <c r="Z11" i="1"/>
  <c r="Y11" i="1"/>
  <c r="W11" i="1"/>
  <c r="V11" i="1"/>
  <c r="T11" i="1"/>
  <c r="S11" i="1"/>
  <c r="Q11" i="1"/>
  <c r="P11" i="1"/>
  <c r="N11" i="1"/>
  <c r="M11" i="1"/>
  <c r="K11" i="1"/>
  <c r="J11" i="1"/>
  <c r="H11" i="1"/>
  <c r="G11" i="1"/>
  <c r="E11" i="1"/>
  <c r="D11" i="1"/>
  <c r="C11" i="1"/>
  <c r="B11" i="1"/>
  <c r="A11" i="1"/>
  <c r="CE10" i="1"/>
  <c r="CD10" i="1"/>
  <c r="CB10" i="1"/>
  <c r="CA10" i="1"/>
  <c r="BY10" i="1"/>
  <c r="BX10" i="1"/>
  <c r="BV10" i="1"/>
  <c r="BU10" i="1"/>
  <c r="BS10" i="1"/>
  <c r="BR10" i="1"/>
  <c r="BP10" i="1"/>
  <c r="BO10" i="1"/>
  <c r="BM10" i="1"/>
  <c r="BL10" i="1"/>
  <c r="BJ10" i="1"/>
  <c r="BI10" i="1"/>
  <c r="BG10" i="1"/>
  <c r="BF10" i="1"/>
  <c r="BD10" i="1"/>
  <c r="BC10" i="1"/>
  <c r="BA10" i="1"/>
  <c r="AZ10" i="1"/>
  <c r="AU10" i="1"/>
  <c r="AT10" i="1"/>
  <c r="AR10" i="1"/>
  <c r="AQ10" i="1"/>
  <c r="AO10" i="1"/>
  <c r="AN10" i="1"/>
  <c r="AL10" i="1"/>
  <c r="AK10" i="1"/>
  <c r="AI10" i="1"/>
  <c r="AH10" i="1"/>
  <c r="AF10" i="1"/>
  <c r="AE10" i="1"/>
  <c r="AC10" i="1"/>
  <c r="AB10" i="1"/>
  <c r="Z10" i="1"/>
  <c r="Y10" i="1"/>
  <c r="W10" i="1"/>
  <c r="V10" i="1"/>
  <c r="T10" i="1"/>
  <c r="S10" i="1"/>
  <c r="Q10" i="1"/>
  <c r="P10" i="1"/>
  <c r="N10" i="1"/>
  <c r="M10" i="1"/>
  <c r="K10" i="1"/>
  <c r="J10" i="1"/>
  <c r="H10" i="1"/>
  <c r="G10" i="1"/>
  <c r="E10" i="1"/>
  <c r="D10" i="1"/>
  <c r="C10" i="1"/>
  <c r="B10" i="1"/>
  <c r="A10" i="1"/>
  <c r="CE9" i="1"/>
  <c r="CD9" i="1"/>
  <c r="CB9" i="1"/>
  <c r="CA9" i="1"/>
  <c r="BY9" i="1"/>
  <c r="BX9" i="1"/>
  <c r="BV9" i="1"/>
  <c r="BU9" i="1"/>
  <c r="BS9" i="1"/>
  <c r="BR9" i="1"/>
  <c r="BP9" i="1"/>
  <c r="BO9" i="1"/>
  <c r="BM9" i="1"/>
  <c r="BL9" i="1"/>
  <c r="BJ9" i="1"/>
  <c r="BI9" i="1"/>
  <c r="BG9" i="1"/>
  <c r="BF9" i="1"/>
  <c r="BD9" i="1"/>
  <c r="BC9" i="1"/>
  <c r="BA9" i="1"/>
  <c r="AZ9" i="1"/>
  <c r="AU9" i="1"/>
  <c r="AT9" i="1"/>
  <c r="AR9" i="1"/>
  <c r="AQ9" i="1"/>
  <c r="AO9" i="1"/>
  <c r="AN9" i="1"/>
  <c r="AL9" i="1"/>
  <c r="AK9" i="1"/>
  <c r="AI9" i="1"/>
  <c r="AH9" i="1"/>
  <c r="AF9" i="1"/>
  <c r="AE9" i="1"/>
  <c r="AC9" i="1"/>
  <c r="AB9" i="1"/>
  <c r="Z9" i="1"/>
  <c r="Y9" i="1"/>
  <c r="W9" i="1"/>
  <c r="V9" i="1"/>
  <c r="T9" i="1"/>
  <c r="S9" i="1"/>
  <c r="Q9" i="1"/>
  <c r="P9" i="1"/>
  <c r="N9" i="1"/>
  <c r="M9" i="1"/>
  <c r="K9" i="1"/>
  <c r="J9" i="1"/>
  <c r="H9" i="1"/>
  <c r="G9" i="1"/>
  <c r="E9" i="1"/>
  <c r="D9" i="1"/>
  <c r="C9" i="1"/>
  <c r="B9" i="1"/>
  <c r="A9" i="1"/>
  <c r="CE8" i="1"/>
  <c r="CD8" i="1"/>
  <c r="CB8" i="1"/>
  <c r="CA8" i="1"/>
  <c r="CC8" i="1" s="1"/>
  <c r="BY8" i="1"/>
  <c r="BX8" i="1"/>
  <c r="BV8" i="1"/>
  <c r="BU8" i="1"/>
  <c r="BS8" i="1"/>
  <c r="BR8" i="1"/>
  <c r="BP8" i="1"/>
  <c r="BO8" i="1"/>
  <c r="BM8" i="1"/>
  <c r="BL8" i="1"/>
  <c r="BJ8" i="1"/>
  <c r="BI8" i="1"/>
  <c r="BG8" i="1"/>
  <c r="BF8" i="1"/>
  <c r="BD8" i="1"/>
  <c r="BC8" i="1"/>
  <c r="BA8" i="1"/>
  <c r="AZ8" i="1"/>
  <c r="AU8" i="1"/>
  <c r="AT8" i="1"/>
  <c r="AR8" i="1"/>
  <c r="AQ8" i="1"/>
  <c r="AO8" i="1"/>
  <c r="AN8" i="1"/>
  <c r="AL8" i="1"/>
  <c r="AK8" i="1"/>
  <c r="AI8" i="1"/>
  <c r="AH8" i="1"/>
  <c r="AF8" i="1"/>
  <c r="AE8" i="1"/>
  <c r="AC8" i="1"/>
  <c r="AB8" i="1"/>
  <c r="Z8" i="1"/>
  <c r="Y8" i="1"/>
  <c r="W8" i="1"/>
  <c r="V8" i="1"/>
  <c r="X8" i="1" s="1"/>
  <c r="T8" i="1"/>
  <c r="S8" i="1"/>
  <c r="Q8" i="1"/>
  <c r="P8" i="1"/>
  <c r="N8" i="1"/>
  <c r="M8" i="1"/>
  <c r="K8" i="1"/>
  <c r="J8" i="1"/>
  <c r="H8" i="1"/>
  <c r="G8" i="1"/>
  <c r="E8" i="1"/>
  <c r="D8" i="1"/>
  <c r="C8" i="1"/>
  <c r="B8" i="1"/>
  <c r="A8" i="1"/>
  <c r="CE7" i="1"/>
  <c r="CD7" i="1"/>
  <c r="CB7" i="1"/>
  <c r="CA7" i="1"/>
  <c r="BY7" i="1"/>
  <c r="BX7" i="1"/>
  <c r="BV7" i="1"/>
  <c r="BU7" i="1"/>
  <c r="BS7" i="1"/>
  <c r="BR7" i="1"/>
  <c r="BP7" i="1"/>
  <c r="BO7" i="1"/>
  <c r="BM7" i="1"/>
  <c r="BL7" i="1"/>
  <c r="BJ7" i="1"/>
  <c r="BI7" i="1"/>
  <c r="BG7" i="1"/>
  <c r="BF7" i="1"/>
  <c r="BD7" i="1"/>
  <c r="BC7" i="1"/>
  <c r="BA7" i="1"/>
  <c r="AZ7" i="1"/>
  <c r="AU7" i="1"/>
  <c r="AT7" i="1"/>
  <c r="AR7" i="1"/>
  <c r="AQ7" i="1"/>
  <c r="AO7" i="1"/>
  <c r="AN7" i="1"/>
  <c r="AL7" i="1"/>
  <c r="AK7" i="1"/>
  <c r="AI7" i="1"/>
  <c r="AH7" i="1"/>
  <c r="AF7" i="1"/>
  <c r="AE7" i="1"/>
  <c r="AC7" i="1"/>
  <c r="AB7" i="1"/>
  <c r="Z7" i="1"/>
  <c r="Y7" i="1"/>
  <c r="W7" i="1"/>
  <c r="V7" i="1"/>
  <c r="T7" i="1"/>
  <c r="S7" i="1"/>
  <c r="Q7" i="1"/>
  <c r="P7" i="1"/>
  <c r="N7" i="1"/>
  <c r="M7" i="1"/>
  <c r="K7" i="1"/>
  <c r="J7" i="1"/>
  <c r="H7" i="1"/>
  <c r="G7" i="1"/>
  <c r="E7" i="1"/>
  <c r="D7" i="1"/>
  <c r="C7" i="1"/>
  <c r="B7" i="1"/>
  <c r="A7" i="1"/>
  <c r="D6" i="1"/>
  <c r="F5" i="1"/>
  <c r="F4" i="1"/>
  <c r="F3" i="1"/>
  <c r="F1" i="1"/>
  <c r="E1" i="1"/>
  <c r="D1" i="1"/>
  <c r="C1" i="1"/>
  <c r="B1" i="1"/>
  <c r="X80" i="1" l="1"/>
  <c r="X76" i="1"/>
  <c r="AA76" i="1"/>
  <c r="U72" i="1"/>
  <c r="CF10" i="1"/>
  <c r="X12" i="1"/>
  <c r="U14" i="1"/>
  <c r="BE16" i="1"/>
  <c r="U26" i="1"/>
  <c r="BH26" i="1"/>
  <c r="AX41" i="1"/>
  <c r="BB42" i="1"/>
  <c r="AD44" i="1"/>
  <c r="BQ44" i="1"/>
  <c r="AW48" i="1"/>
  <c r="BE52" i="1"/>
  <c r="BW52" i="1"/>
  <c r="AX53" i="1"/>
  <c r="CF58" i="1"/>
  <c r="AW60" i="1"/>
  <c r="U62" i="1"/>
  <c r="AX65" i="1"/>
  <c r="I70" i="1"/>
  <c r="X72" i="1"/>
  <c r="BK72" i="1"/>
  <c r="CC72" i="1"/>
  <c r="BW76" i="1"/>
  <c r="X77" i="1"/>
  <c r="AX77" i="1"/>
  <c r="AD81" i="1"/>
  <c r="U22" i="1"/>
  <c r="AX7" i="1"/>
  <c r="AW14" i="1"/>
  <c r="AX19" i="1"/>
  <c r="AW26" i="1"/>
  <c r="BH28" i="1"/>
  <c r="BW30" i="1"/>
  <c r="AX31" i="1"/>
  <c r="AW38" i="1"/>
  <c r="AX43" i="1"/>
  <c r="R47" i="1"/>
  <c r="AW50" i="1"/>
  <c r="AA53" i="1"/>
  <c r="AX55" i="1"/>
  <c r="R59" i="1"/>
  <c r="AW62" i="1"/>
  <c r="AX67" i="1"/>
  <c r="AW74" i="1"/>
  <c r="AX79" i="1"/>
  <c r="AS76" i="1"/>
  <c r="G3" i="1"/>
  <c r="U70" i="1"/>
  <c r="X9" i="1"/>
  <c r="AW9" i="1"/>
  <c r="BK9" i="1"/>
  <c r="BH11" i="1"/>
  <c r="AX14" i="1"/>
  <c r="AW21" i="1"/>
  <c r="AX26" i="1"/>
  <c r="BK33" i="1"/>
  <c r="CC33" i="1"/>
  <c r="R49" i="1"/>
  <c r="X74" i="1"/>
  <c r="AM37" i="1"/>
  <c r="BZ37" i="1"/>
  <c r="U42" i="1"/>
  <c r="AM42" i="1"/>
  <c r="AJ44" i="1"/>
  <c r="AJ10" i="1"/>
  <c r="O12" i="1"/>
  <c r="AG12" i="1"/>
  <c r="BB12" i="1"/>
  <c r="AV14" i="1"/>
  <c r="I16" i="1"/>
  <c r="AS16" i="1"/>
  <c r="CC18" i="1"/>
  <c r="AM20" i="1"/>
  <c r="O24" i="1"/>
  <c r="AW49" i="1"/>
  <c r="CC49" i="1"/>
  <c r="AX54" i="1"/>
  <c r="AD57" i="1"/>
  <c r="X61" i="1"/>
  <c r="AW61" i="1"/>
  <c r="AX66" i="1"/>
  <c r="AW73" i="1"/>
  <c r="U75" i="1"/>
  <c r="BZ75" i="1"/>
  <c r="BB79" i="1"/>
  <c r="AM80" i="1"/>
  <c r="AW8" i="1"/>
  <c r="AX13" i="1"/>
  <c r="AW20" i="1"/>
  <c r="AA23" i="1"/>
  <c r="AX25" i="1"/>
  <c r="BT31" i="1"/>
  <c r="AW32" i="1"/>
  <c r="AX37" i="1"/>
  <c r="AY37" i="1" s="1"/>
  <c r="AW44" i="1"/>
  <c r="CC44" i="1"/>
  <c r="BE48" i="1"/>
  <c r="AX49" i="1"/>
  <c r="BN54" i="1"/>
  <c r="BK56" i="1"/>
  <c r="U58" i="1"/>
  <c r="BH58" i="1"/>
  <c r="BW60" i="1"/>
  <c r="AA66" i="1"/>
  <c r="BZ70" i="1"/>
  <c r="R72" i="1"/>
  <c r="BW72" i="1"/>
  <c r="U82" i="1"/>
  <c r="BH42" i="1"/>
  <c r="AX8" i="1"/>
  <c r="AW15" i="1"/>
  <c r="AX20" i="1"/>
  <c r="AW27" i="1"/>
  <c r="AV48" i="1"/>
  <c r="AS50" i="1"/>
  <c r="X52" i="1"/>
  <c r="AW34" i="1"/>
  <c r="AX39" i="1"/>
  <c r="AW46" i="1"/>
  <c r="AX51" i="1"/>
  <c r="AA56" i="1"/>
  <c r="AW58" i="1"/>
  <c r="AA61" i="1"/>
  <c r="AX63" i="1"/>
  <c r="AW70" i="1"/>
  <c r="AX75" i="1"/>
  <c r="BQ78" i="1"/>
  <c r="AW82" i="1"/>
  <c r="AX10" i="1"/>
  <c r="AW17" i="1"/>
  <c r="BT23" i="1"/>
  <c r="AW29" i="1"/>
  <c r="BE33" i="1"/>
  <c r="AX34" i="1"/>
  <c r="BT35" i="1"/>
  <c r="AW41" i="1"/>
  <c r="AX46" i="1"/>
  <c r="BB47" i="1"/>
  <c r="AW53" i="1"/>
  <c r="R57" i="1"/>
  <c r="AX58" i="1"/>
  <c r="AD61" i="1"/>
  <c r="X65" i="1"/>
  <c r="AW65" i="1"/>
  <c r="AX70" i="1"/>
  <c r="AD73" i="1"/>
  <c r="AW77" i="1"/>
  <c r="BZ79" i="1"/>
  <c r="AX82" i="1"/>
  <c r="AW12" i="1"/>
  <c r="AW24" i="1"/>
  <c r="AX29" i="1"/>
  <c r="AW36" i="1"/>
  <c r="AW7" i="1"/>
  <c r="AX12" i="1"/>
  <c r="O13" i="1"/>
  <c r="AW19" i="1"/>
  <c r="BH21" i="1"/>
  <c r="AX24" i="1"/>
  <c r="O25" i="1"/>
  <c r="AW31" i="1"/>
  <c r="BE35" i="1"/>
  <c r="AX36" i="1"/>
  <c r="AW43" i="1"/>
  <c r="AX48" i="1"/>
  <c r="BT49" i="1"/>
  <c r="AD51" i="1"/>
  <c r="AW55" i="1"/>
  <c r="AX60" i="1"/>
  <c r="AA65" i="1"/>
  <c r="X67" i="1"/>
  <c r="AW67" i="1"/>
  <c r="U69" i="1"/>
  <c r="BH69" i="1"/>
  <c r="R71" i="1"/>
  <c r="AX72" i="1"/>
  <c r="BT73" i="1"/>
  <c r="CF77" i="1"/>
  <c r="AW79" i="1"/>
  <c r="X62" i="1"/>
  <c r="BK62" i="1"/>
  <c r="AW56" i="1"/>
  <c r="AX61" i="1"/>
  <c r="AW68" i="1"/>
  <c r="AX73" i="1"/>
  <c r="AW80" i="1"/>
  <c r="AW10" i="1"/>
  <c r="AX15" i="1"/>
  <c r="I20" i="1"/>
  <c r="AW22" i="1"/>
  <c r="AS25" i="1"/>
  <c r="BW26" i="1"/>
  <c r="AP27" i="1"/>
  <c r="AX27" i="1"/>
  <c r="BB28" i="1"/>
  <c r="AM29" i="1"/>
  <c r="BQ30" i="1"/>
  <c r="AJ31" i="1"/>
  <c r="BE31" i="1"/>
  <c r="AX32" i="1"/>
  <c r="BQ35" i="1"/>
  <c r="R36" i="1"/>
  <c r="AW39" i="1"/>
  <c r="AX44" i="1"/>
  <c r="I49" i="1"/>
  <c r="AA49" i="1"/>
  <c r="CF49" i="1"/>
  <c r="AW51" i="1"/>
  <c r="BE55" i="1"/>
  <c r="AX56" i="1"/>
  <c r="AY56" i="1" s="1"/>
  <c r="I61" i="1"/>
  <c r="CF61" i="1"/>
  <c r="AW63" i="1"/>
  <c r="BZ65" i="1"/>
  <c r="BE67" i="1"/>
  <c r="AX68" i="1"/>
  <c r="O74" i="1"/>
  <c r="AG74" i="1"/>
  <c r="BB74" i="1"/>
  <c r="AW75" i="1"/>
  <c r="AV76" i="1"/>
  <c r="BQ76" i="1"/>
  <c r="AS78" i="1"/>
  <c r="AP80" i="1"/>
  <c r="AX80" i="1"/>
  <c r="AD33" i="1"/>
  <c r="AV33" i="1"/>
  <c r="AM7" i="1"/>
  <c r="BB11" i="1"/>
  <c r="AS15" i="1"/>
  <c r="AP17" i="1"/>
  <c r="AX17" i="1"/>
  <c r="BE57" i="1"/>
  <c r="AJ69" i="1"/>
  <c r="BW69" i="1"/>
  <c r="AG71" i="1"/>
  <c r="BT66" i="1"/>
  <c r="AW16" i="1"/>
  <c r="O44" i="1"/>
  <c r="AG44" i="1"/>
  <c r="AV46" i="1"/>
  <c r="AA48" i="1"/>
  <c r="U52" i="1"/>
  <c r="BZ52" i="1"/>
  <c r="BT56" i="1"/>
  <c r="AG80" i="1"/>
  <c r="AW11" i="1"/>
  <c r="AX16" i="1"/>
  <c r="AW23" i="1"/>
  <c r="AX28" i="1"/>
  <c r="X33" i="1"/>
  <c r="AX33" i="1"/>
  <c r="AW40" i="1"/>
  <c r="AD41" i="1"/>
  <c r="AV41" i="1"/>
  <c r="AA43" i="1"/>
  <c r="AS43" i="1"/>
  <c r="X45" i="1"/>
  <c r="AP45" i="1"/>
  <c r="AX45" i="1"/>
  <c r="AM47" i="1"/>
  <c r="AJ49" i="1"/>
  <c r="BW49" i="1"/>
  <c r="AG51" i="1"/>
  <c r="BB51" i="1"/>
  <c r="AW52" i="1"/>
  <c r="AV53" i="1"/>
  <c r="I55" i="1"/>
  <c r="AS55" i="1"/>
  <c r="AP57" i="1"/>
  <c r="AX57" i="1"/>
  <c r="AM59" i="1"/>
  <c r="AJ61" i="1"/>
  <c r="AW64" i="1"/>
  <c r="AD65" i="1"/>
  <c r="AV65" i="1"/>
  <c r="I67" i="1"/>
  <c r="AA67" i="1"/>
  <c r="AS67" i="1"/>
  <c r="AP69" i="1"/>
  <c r="AX69" i="1"/>
  <c r="AM71" i="1"/>
  <c r="AJ73" i="1"/>
  <c r="BT75" i="1"/>
  <c r="AW76" i="1"/>
  <c r="AX81" i="1"/>
  <c r="AP78" i="1"/>
  <c r="AX78" i="1"/>
  <c r="AP22" i="1"/>
  <c r="AX22" i="1"/>
  <c r="BZ7" i="1"/>
  <c r="AJ9" i="1"/>
  <c r="AV13" i="1"/>
  <c r="CC17" i="1"/>
  <c r="AM19" i="1"/>
  <c r="AJ74" i="1"/>
  <c r="R28" i="1"/>
  <c r="R69" i="1"/>
  <c r="O71" i="1"/>
  <c r="BB71" i="1"/>
  <c r="AW72" i="1"/>
  <c r="AW33" i="1"/>
  <c r="BB44" i="1"/>
  <c r="AW45" i="1"/>
  <c r="AS48" i="1"/>
  <c r="AP50" i="1"/>
  <c r="AX50" i="1"/>
  <c r="AM52" i="1"/>
  <c r="AG56" i="1"/>
  <c r="AX62" i="1"/>
  <c r="AW69" i="1"/>
  <c r="AV70" i="1"/>
  <c r="AM76" i="1"/>
  <c r="AJ78" i="1"/>
  <c r="O80" i="1"/>
  <c r="AX11" i="1"/>
  <c r="AW18" i="1"/>
  <c r="AX23" i="1"/>
  <c r="AW30" i="1"/>
  <c r="BT34" i="1"/>
  <c r="AW35" i="1"/>
  <c r="AP40" i="1"/>
  <c r="AX40" i="1"/>
  <c r="AW47" i="1"/>
  <c r="CF50" i="1"/>
  <c r="AP52" i="1"/>
  <c r="AX52" i="1"/>
  <c r="AM54" i="1"/>
  <c r="AJ56" i="1"/>
  <c r="BT58" i="1"/>
  <c r="AW59" i="1"/>
  <c r="AD60" i="1"/>
  <c r="AV60" i="1"/>
  <c r="AS62" i="1"/>
  <c r="AP64" i="1"/>
  <c r="AX64" i="1"/>
  <c r="AM66" i="1"/>
  <c r="CF69" i="1"/>
  <c r="AW71" i="1"/>
  <c r="AX76" i="1"/>
  <c r="BQ79" i="1"/>
  <c r="BT11" i="1"/>
  <c r="U45" i="1"/>
  <c r="AJ59" i="1"/>
  <c r="O61" i="1"/>
  <c r="AD63" i="1"/>
  <c r="AV63" i="1"/>
  <c r="CC67" i="1"/>
  <c r="BZ81" i="1"/>
  <c r="AX9" i="1"/>
  <c r="AY9" i="1" s="1"/>
  <c r="AX21" i="1"/>
  <c r="AW28" i="1"/>
  <c r="AX38" i="1"/>
  <c r="AJ42" i="1"/>
  <c r="AD46" i="1"/>
  <c r="AJ54" i="1"/>
  <c r="AW57" i="1"/>
  <c r="AS72" i="1"/>
  <c r="AP74" i="1"/>
  <c r="AX74" i="1"/>
  <c r="BE78" i="1"/>
  <c r="BT80" i="1"/>
  <c r="AW81" i="1"/>
  <c r="AM8" i="1"/>
  <c r="L9" i="1"/>
  <c r="AW13" i="1"/>
  <c r="AP18" i="1"/>
  <c r="AX18" i="1"/>
  <c r="AW25" i="1"/>
  <c r="AX30" i="1"/>
  <c r="AX35" i="1"/>
  <c r="AW42" i="1"/>
  <c r="AY42" i="1" s="1"/>
  <c r="AX47" i="1"/>
  <c r="AD50" i="1"/>
  <c r="BQ50" i="1"/>
  <c r="AW54" i="1"/>
  <c r="BK54" i="1"/>
  <c r="BW58" i="1"/>
  <c r="AX59" i="1"/>
  <c r="AW66" i="1"/>
  <c r="BE70" i="1"/>
  <c r="BW70" i="1"/>
  <c r="AX71" i="1"/>
  <c r="BB72" i="1"/>
  <c r="I76" i="1"/>
  <c r="AW78" i="1"/>
  <c r="R82" i="1"/>
  <c r="BE82" i="1"/>
  <c r="AJ39" i="1"/>
  <c r="AS45" i="1"/>
  <c r="AJ51" i="1"/>
  <c r="AD43" i="1"/>
  <c r="AP47" i="1"/>
  <c r="AM49" i="1"/>
  <c r="BZ49" i="1"/>
  <c r="AV55" i="1"/>
  <c r="AS57" i="1"/>
  <c r="BN57" i="1"/>
  <c r="AP59" i="1"/>
  <c r="U61" i="1"/>
  <c r="AM61" i="1"/>
  <c r="BZ61" i="1"/>
  <c r="L21" i="1"/>
  <c r="BT41" i="1"/>
  <c r="AV43" i="1"/>
  <c r="U49" i="1"/>
  <c r="AV38" i="1"/>
  <c r="BE46" i="1"/>
  <c r="AM56" i="1"/>
  <c r="AP37" i="1"/>
  <c r="BZ39" i="1"/>
  <c r="BZ51" i="1"/>
  <c r="AP32" i="1"/>
  <c r="AA54" i="1"/>
  <c r="AJ16" i="1"/>
  <c r="CC19" i="1"/>
  <c r="AJ63" i="1"/>
  <c r="AV67" i="1"/>
  <c r="AJ68" i="1"/>
  <c r="AG70" i="1"/>
  <c r="AS74" i="1"/>
  <c r="AM44" i="1"/>
  <c r="AJ46" i="1"/>
  <c r="AG48" i="1"/>
  <c r="BT48" i="1"/>
  <c r="AV50" i="1"/>
  <c r="AA52" i="1"/>
  <c r="AP54" i="1"/>
  <c r="AJ58" i="1"/>
  <c r="O60" i="1"/>
  <c r="AS64" i="1"/>
  <c r="AS69" i="1"/>
  <c r="U39" i="1"/>
  <c r="AS47" i="1"/>
  <c r="BK61" i="1"/>
  <c r="AM63" i="1"/>
  <c r="AM34" i="1"/>
  <c r="AV40" i="1"/>
  <c r="X44" i="1"/>
  <c r="BW48" i="1"/>
  <c r="O50" i="1"/>
  <c r="L52" i="1"/>
  <c r="AS37" i="1"/>
  <c r="AS10" i="1"/>
  <c r="AP12" i="1"/>
  <c r="AD20" i="1"/>
  <c r="BE28" i="1"/>
  <c r="BB30" i="1"/>
  <c r="AS32" i="1"/>
  <c r="AJ38" i="1"/>
  <c r="BB40" i="1"/>
  <c r="AM77" i="1"/>
  <c r="CC7" i="1"/>
  <c r="AM9" i="1"/>
  <c r="BW11" i="1"/>
  <c r="AA17" i="1"/>
  <c r="AD27" i="1"/>
  <c r="AS29" i="1"/>
  <c r="AP31" i="1"/>
  <c r="AV37" i="1"/>
  <c r="I39" i="1"/>
  <c r="AG20" i="1"/>
  <c r="AV22" i="1"/>
  <c r="AA24" i="1"/>
  <c r="AP26" i="1"/>
  <c r="AM28" i="1"/>
  <c r="AS34" i="1"/>
  <c r="X36" i="1"/>
  <c r="U38" i="1"/>
  <c r="AM38" i="1"/>
  <c r="BQ73" i="1"/>
  <c r="AM79" i="1"/>
  <c r="AJ81" i="1"/>
  <c r="AS7" i="1"/>
  <c r="AP9" i="1"/>
  <c r="AM11" i="1"/>
  <c r="AJ13" i="1"/>
  <c r="AV17" i="1"/>
  <c r="AS19" i="1"/>
  <c r="BN19" i="1"/>
  <c r="X21" i="1"/>
  <c r="AP21" i="1"/>
  <c r="AM23" i="1"/>
  <c r="AJ25" i="1"/>
  <c r="AV29" i="1"/>
  <c r="AS31" i="1"/>
  <c r="AM33" i="1"/>
  <c r="R35" i="1"/>
  <c r="AJ35" i="1"/>
  <c r="BW35" i="1"/>
  <c r="AS65" i="1"/>
  <c r="AP67" i="1"/>
  <c r="AV68" i="1"/>
  <c r="AS70" i="1"/>
  <c r="AP72" i="1"/>
  <c r="AM74" i="1"/>
  <c r="AJ76" i="1"/>
  <c r="L80" i="1"/>
  <c r="AD80" i="1"/>
  <c r="AV80" i="1"/>
  <c r="BQ80" i="1"/>
  <c r="AA64" i="1"/>
  <c r="X66" i="1"/>
  <c r="AS35" i="1"/>
  <c r="AM39" i="1"/>
  <c r="AJ41" i="1"/>
  <c r="O43" i="1"/>
  <c r="BT43" i="1"/>
  <c r="AM51" i="1"/>
  <c r="BN59" i="1"/>
  <c r="AP61" i="1"/>
  <c r="AJ26" i="1"/>
  <c r="AV30" i="1"/>
  <c r="AJ36" i="1"/>
  <c r="AS42" i="1"/>
  <c r="BK44" i="1"/>
  <c r="AM46" i="1"/>
  <c r="AG50" i="1"/>
  <c r="AV52" i="1"/>
  <c r="AP56" i="1"/>
  <c r="BQ64" i="1"/>
  <c r="AV25" i="1"/>
  <c r="AS27" i="1"/>
  <c r="X29" i="1"/>
  <c r="AM14" i="1"/>
  <c r="L20" i="1"/>
  <c r="AP24" i="1"/>
  <c r="BZ26" i="1"/>
  <c r="AJ28" i="1"/>
  <c r="AG30" i="1"/>
  <c r="AA32" i="1"/>
  <c r="AM36" i="1"/>
  <c r="AM82" i="1"/>
  <c r="AP7" i="1"/>
  <c r="U9" i="1"/>
  <c r="AJ11" i="1"/>
  <c r="AV15" i="1"/>
  <c r="BN17" i="1"/>
  <c r="AP19" i="1"/>
  <c r="AM21" i="1"/>
  <c r="BZ21" i="1"/>
  <c r="AJ23" i="1"/>
  <c r="AV27" i="1"/>
  <c r="AJ33" i="1"/>
  <c r="AD37" i="1"/>
  <c r="AS80" i="1"/>
  <c r="AG8" i="1"/>
  <c r="AD10" i="1"/>
  <c r="AP14" i="1"/>
  <c r="AM16" i="1"/>
  <c r="AJ18" i="1"/>
  <c r="O20" i="1"/>
  <c r="L22" i="1"/>
  <c r="AS24" i="1"/>
  <c r="X26" i="1"/>
  <c r="AJ30" i="1"/>
  <c r="AV32" i="1"/>
  <c r="CF34" i="1"/>
  <c r="AP36" i="1"/>
  <c r="BH38" i="1"/>
  <c r="AV73" i="1"/>
  <c r="AS75" i="1"/>
  <c r="AP77" i="1"/>
  <c r="BE81" i="1"/>
  <c r="X82" i="1"/>
  <c r="AP82" i="1"/>
  <c r="BK82" i="1"/>
  <c r="AV12" i="1"/>
  <c r="AA14" i="1"/>
  <c r="AS14" i="1"/>
  <c r="BN14" i="1"/>
  <c r="AP16" i="1"/>
  <c r="AM18" i="1"/>
  <c r="AJ20" i="1"/>
  <c r="AG22" i="1"/>
  <c r="AD24" i="1"/>
  <c r="AV24" i="1"/>
  <c r="AA26" i="1"/>
  <c r="AS26" i="1"/>
  <c r="AP28" i="1"/>
  <c r="AM30" i="1"/>
  <c r="O32" i="1"/>
  <c r="AV34" i="1"/>
  <c r="I43" i="1"/>
  <c r="BZ47" i="1"/>
  <c r="BT51" i="1"/>
  <c r="AD53" i="1"/>
  <c r="AD58" i="1"/>
  <c r="AV58" i="1"/>
  <c r="AS60" i="1"/>
  <c r="BN60" i="1"/>
  <c r="BW61" i="1"/>
  <c r="AP62" i="1"/>
  <c r="U64" i="1"/>
  <c r="AM64" i="1"/>
  <c r="R66" i="1"/>
  <c r="AJ66" i="1"/>
  <c r="BE66" i="1"/>
  <c r="AM69" i="1"/>
  <c r="AJ71" i="1"/>
  <c r="O73" i="1"/>
  <c r="BB73" i="1"/>
  <c r="BK74" i="1"/>
  <c r="AV75" i="1"/>
  <c r="BH76" i="1"/>
  <c r="AA77" i="1"/>
  <c r="AS77" i="1"/>
  <c r="AP79" i="1"/>
  <c r="AM81" i="1"/>
  <c r="BH81" i="1"/>
  <c r="AA82" i="1"/>
  <c r="AS82" i="1"/>
  <c r="BN82" i="1"/>
  <c r="CF82" i="1"/>
  <c r="BE63" i="1"/>
  <c r="BT65" i="1"/>
  <c r="R68" i="1"/>
  <c r="BW68" i="1"/>
  <c r="BB70" i="1"/>
  <c r="AV72" i="1"/>
  <c r="L38" i="1"/>
  <c r="AS40" i="1"/>
  <c r="AP42" i="1"/>
  <c r="CC42" i="1"/>
  <c r="U44" i="1"/>
  <c r="R46" i="1"/>
  <c r="O48" i="1"/>
  <c r="AS52" i="1"/>
  <c r="AV62" i="1"/>
  <c r="CF64" i="1"/>
  <c r="AP66" i="1"/>
  <c r="AP71" i="1"/>
  <c r="X37" i="1"/>
  <c r="BH39" i="1"/>
  <c r="AG43" i="1"/>
  <c r="AV45" i="1"/>
  <c r="AP49" i="1"/>
  <c r="AJ53" i="1"/>
  <c r="AV57" i="1"/>
  <c r="AS59" i="1"/>
  <c r="BH63" i="1"/>
  <c r="AM24" i="1"/>
  <c r="AA42" i="1"/>
  <c r="AP44" i="1"/>
  <c r="AJ48" i="1"/>
  <c r="AD52" i="1"/>
  <c r="AS54" i="1"/>
  <c r="X56" i="1"/>
  <c r="AJ21" i="1"/>
  <c r="AP29" i="1"/>
  <c r="AM31" i="1"/>
  <c r="AV35" i="1"/>
  <c r="AP39" i="1"/>
  <c r="AV8" i="1"/>
  <c r="AV20" i="1"/>
  <c r="AS22" i="1"/>
  <c r="AM26" i="1"/>
  <c r="O30" i="1"/>
  <c r="BT30" i="1"/>
  <c r="BN32" i="1"/>
  <c r="AP34" i="1"/>
  <c r="AJ79" i="1"/>
  <c r="X7" i="1"/>
  <c r="BH9" i="1"/>
  <c r="AS17" i="1"/>
  <c r="X19" i="1"/>
  <c r="AV78" i="1"/>
  <c r="BB8" i="1"/>
  <c r="AV10" i="1"/>
  <c r="AS12" i="1"/>
  <c r="U16" i="1"/>
  <c r="AJ8" i="1"/>
  <c r="AV7" i="1"/>
  <c r="AS9" i="1"/>
  <c r="AP11" i="1"/>
  <c r="AM13" i="1"/>
  <c r="AJ15" i="1"/>
  <c r="AV19" i="1"/>
  <c r="AA21" i="1"/>
  <c r="AS21" i="1"/>
  <c r="AP23" i="1"/>
  <c r="BE73" i="1"/>
  <c r="U15" i="1"/>
  <c r="AJ17" i="1"/>
  <c r="AJ22" i="1"/>
  <c r="AV31" i="1"/>
  <c r="AP33" i="1"/>
  <c r="BZ38" i="1"/>
  <c r="AS39" i="1"/>
  <c r="BW50" i="1"/>
  <c r="L54" i="1"/>
  <c r="AV54" i="1"/>
  <c r="AV59" i="1"/>
  <c r="AP63" i="1"/>
  <c r="AS66" i="1"/>
  <c r="L69" i="1"/>
  <c r="AV69" i="1"/>
  <c r="CC76" i="1"/>
  <c r="AM78" i="1"/>
  <c r="BZ78" i="1"/>
  <c r="BE80" i="1"/>
  <c r="AP8" i="1"/>
  <c r="BH10" i="1"/>
  <c r="AJ12" i="1"/>
  <c r="AV16" i="1"/>
  <c r="X20" i="1"/>
  <c r="AP20" i="1"/>
  <c r="BK20" i="1"/>
  <c r="AD21" i="1"/>
  <c r="AV21" i="1"/>
  <c r="AS23" i="1"/>
  <c r="AG24" i="1"/>
  <c r="AV26" i="1"/>
  <c r="AS28" i="1"/>
  <c r="AP30" i="1"/>
  <c r="R32" i="1"/>
  <c r="AJ32" i="1"/>
  <c r="BE32" i="1"/>
  <c r="AG34" i="1"/>
  <c r="U35" i="1"/>
  <c r="AM35" i="1"/>
  <c r="AA36" i="1"/>
  <c r="AS36" i="1"/>
  <c r="BN36" i="1"/>
  <c r="AP38" i="1"/>
  <c r="AJ40" i="1"/>
  <c r="AP41" i="1"/>
  <c r="AM43" i="1"/>
  <c r="AJ45" i="1"/>
  <c r="AV49" i="1"/>
  <c r="BQ49" i="1"/>
  <c r="AS51" i="1"/>
  <c r="X53" i="1"/>
  <c r="AP53" i="1"/>
  <c r="CC53" i="1"/>
  <c r="AM55" i="1"/>
  <c r="BH55" i="1"/>
  <c r="AJ57" i="1"/>
  <c r="X58" i="1"/>
  <c r="AP58" i="1"/>
  <c r="BK58" i="1"/>
  <c r="U60" i="1"/>
  <c r="AM60" i="1"/>
  <c r="BH60" i="1"/>
  <c r="AJ62" i="1"/>
  <c r="AM65" i="1"/>
  <c r="AJ67" i="1"/>
  <c r="AP68" i="1"/>
  <c r="AM70" i="1"/>
  <c r="AJ72" i="1"/>
  <c r="X73" i="1"/>
  <c r="AP73" i="1"/>
  <c r="AM75" i="1"/>
  <c r="AV79" i="1"/>
  <c r="AS81" i="1"/>
  <c r="AG40" i="1"/>
  <c r="AM41" i="1"/>
  <c r="AJ43" i="1"/>
  <c r="AV47" i="1"/>
  <c r="AS49" i="1"/>
  <c r="AP51" i="1"/>
  <c r="CC51" i="1"/>
  <c r="AM53" i="1"/>
  <c r="AJ55" i="1"/>
  <c r="BB57" i="1"/>
  <c r="AM58" i="1"/>
  <c r="BZ58" i="1"/>
  <c r="R60" i="1"/>
  <c r="AJ60" i="1"/>
  <c r="AV64" i="1"/>
  <c r="R65" i="1"/>
  <c r="AJ65" i="1"/>
  <c r="BT67" i="1"/>
  <c r="AM68" i="1"/>
  <c r="R70" i="1"/>
  <c r="AJ70" i="1"/>
  <c r="AM73" i="1"/>
  <c r="BZ73" i="1"/>
  <c r="AJ75" i="1"/>
  <c r="AV77" i="1"/>
  <c r="AS79" i="1"/>
  <c r="AP81" i="1"/>
  <c r="AV9" i="1"/>
  <c r="I11" i="1"/>
  <c r="AS11" i="1"/>
  <c r="AP13" i="1"/>
  <c r="BK13" i="1"/>
  <c r="R17" i="1"/>
  <c r="AM25" i="1"/>
  <c r="AJ27" i="1"/>
  <c r="AG37" i="1"/>
  <c r="AA39" i="1"/>
  <c r="AS44" i="1"/>
  <c r="AM48" i="1"/>
  <c r="AJ50" i="1"/>
  <c r="AS56" i="1"/>
  <c r="BN61" i="1"/>
  <c r="BQ69" i="1"/>
  <c r="AS71" i="1"/>
  <c r="AV74" i="1"/>
  <c r="BH78" i="1"/>
  <c r="R80" i="1"/>
  <c r="AJ80" i="1"/>
  <c r="AM10" i="1"/>
  <c r="BW12" i="1"/>
  <c r="BT14" i="1"/>
  <c r="AG9" i="1"/>
  <c r="AV11" i="1"/>
  <c r="AM17" i="1"/>
  <c r="AM22" i="1"/>
  <c r="AV39" i="1"/>
  <c r="AV44" i="1"/>
  <c r="AS46" i="1"/>
  <c r="AP48" i="1"/>
  <c r="CC48" i="1"/>
  <c r="AM50" i="1"/>
  <c r="AJ52" i="1"/>
  <c r="BB54" i="1"/>
  <c r="AV56" i="1"/>
  <c r="BT59" i="1"/>
  <c r="AV61" i="1"/>
  <c r="AS63" i="1"/>
  <c r="BN63" i="1"/>
  <c r="AV66" i="1"/>
  <c r="AG69" i="1"/>
  <c r="BB69" i="1"/>
  <c r="BT69" i="1"/>
  <c r="AV71" i="1"/>
  <c r="BW55" i="1"/>
  <c r="U73" i="1"/>
  <c r="R75" i="1"/>
  <c r="AA79" i="1"/>
  <c r="X81" i="1"/>
  <c r="AV82" i="1"/>
  <c r="AM15" i="1"/>
  <c r="AV42" i="1"/>
  <c r="AP46" i="1"/>
  <c r="AS61" i="1"/>
  <c r="AP76" i="1"/>
  <c r="AG14" i="1"/>
  <c r="AS18" i="1"/>
  <c r="AJ7" i="1"/>
  <c r="AA13" i="1"/>
  <c r="AS13" i="1"/>
  <c r="AP15" i="1"/>
  <c r="AJ19" i="1"/>
  <c r="BH22" i="1"/>
  <c r="AP25" i="1"/>
  <c r="AM27" i="1"/>
  <c r="AJ29" i="1"/>
  <c r="AS33" i="1"/>
  <c r="AJ37" i="1"/>
  <c r="AA8" i="1"/>
  <c r="AS8" i="1"/>
  <c r="BN8" i="1"/>
  <c r="AP10" i="1"/>
  <c r="U12" i="1"/>
  <c r="AM12" i="1"/>
  <c r="AJ14" i="1"/>
  <c r="I15" i="1"/>
  <c r="AV18" i="1"/>
  <c r="BQ18" i="1"/>
  <c r="AS20" i="1"/>
  <c r="AV23" i="1"/>
  <c r="AJ24" i="1"/>
  <c r="BB26" i="1"/>
  <c r="BK27" i="1"/>
  <c r="AV28" i="1"/>
  <c r="AS30" i="1"/>
  <c r="U32" i="1"/>
  <c r="AM32" i="1"/>
  <c r="BQ33" i="1"/>
  <c r="R34" i="1"/>
  <c r="AJ34" i="1"/>
  <c r="AP35" i="1"/>
  <c r="CC35" i="1"/>
  <c r="AV36" i="1"/>
  <c r="AS38" i="1"/>
  <c r="BN38" i="1"/>
  <c r="AM40" i="1"/>
  <c r="BH40" i="1"/>
  <c r="AS41" i="1"/>
  <c r="AP43" i="1"/>
  <c r="AM45" i="1"/>
  <c r="BH45" i="1"/>
  <c r="AJ47" i="1"/>
  <c r="CF48" i="1"/>
  <c r="AV51" i="1"/>
  <c r="BQ51" i="1"/>
  <c r="AS53" i="1"/>
  <c r="X55" i="1"/>
  <c r="AP55" i="1"/>
  <c r="CC55" i="1"/>
  <c r="U57" i="1"/>
  <c r="AM57" i="1"/>
  <c r="BH57" i="1"/>
  <c r="AS58" i="1"/>
  <c r="X60" i="1"/>
  <c r="AP60" i="1"/>
  <c r="BT61" i="1"/>
  <c r="AM62" i="1"/>
  <c r="AJ64" i="1"/>
  <c r="BW64" i="1"/>
  <c r="AP65" i="1"/>
  <c r="AM67" i="1"/>
  <c r="I68" i="1"/>
  <c r="AA68" i="1"/>
  <c r="AS68" i="1"/>
  <c r="AP70" i="1"/>
  <c r="AM72" i="1"/>
  <c r="BH72" i="1"/>
  <c r="I73" i="1"/>
  <c r="AS73" i="1"/>
  <c r="BN73" i="1"/>
  <c r="AP75" i="1"/>
  <c r="BK75" i="1"/>
  <c r="AD76" i="1"/>
  <c r="AJ77" i="1"/>
  <c r="CF78" i="1"/>
  <c r="AV81" i="1"/>
  <c r="AJ82" i="1"/>
  <c r="BW82" i="1"/>
  <c r="BW8" i="1"/>
  <c r="O10" i="1"/>
  <c r="AG10" i="1"/>
  <c r="AA12" i="1"/>
  <c r="BN12" i="1"/>
  <c r="U31" i="1"/>
  <c r="AG33" i="1"/>
  <c r="I35" i="1"/>
  <c r="AA35" i="1"/>
  <c r="AG36" i="1"/>
  <c r="BK81" i="1"/>
  <c r="AD82" i="1"/>
  <c r="BW17" i="1"/>
  <c r="U25" i="1"/>
  <c r="U54" i="1"/>
  <c r="BK15" i="1"/>
  <c r="AG68" i="1"/>
  <c r="BW14" i="1"/>
  <c r="AG16" i="1"/>
  <c r="X38" i="1"/>
  <c r="BE43" i="1"/>
  <c r="BZ66" i="1"/>
  <c r="X35" i="1"/>
  <c r="BE40" i="1"/>
  <c r="I44" i="1"/>
  <c r="AG45" i="1"/>
  <c r="AD47" i="1"/>
  <c r="BN7" i="1"/>
  <c r="CC9" i="1"/>
  <c r="BB13" i="1"/>
  <c r="I38" i="1"/>
  <c r="AA38" i="1"/>
  <c r="BN29" i="1"/>
  <c r="CF29" i="1"/>
  <c r="BK34" i="1"/>
  <c r="AG77" i="1"/>
  <c r="L79" i="1"/>
  <c r="I81" i="1"/>
  <c r="AA81" i="1"/>
  <c r="X57" i="1"/>
  <c r="BN70" i="1"/>
  <c r="R14" i="1"/>
  <c r="BE14" i="1"/>
  <c r="BB16" i="1"/>
  <c r="R40" i="1"/>
  <c r="BE11" i="1"/>
  <c r="BH14" i="1"/>
  <c r="BQ42" i="1"/>
  <c r="L47" i="1"/>
  <c r="I7" i="1"/>
  <c r="CF7" i="1"/>
  <c r="AA9" i="1"/>
  <c r="CF9" i="1"/>
  <c r="BK21" i="1"/>
  <c r="U28" i="1"/>
  <c r="BZ28" i="1"/>
  <c r="R30" i="1"/>
  <c r="BE30" i="1"/>
  <c r="BN76" i="1"/>
  <c r="CC78" i="1"/>
  <c r="AA70" i="1"/>
  <c r="BQ16" i="1"/>
  <c r="BT68" i="1"/>
  <c r="U46" i="1"/>
  <c r="R48" i="1"/>
  <c r="X49" i="1"/>
  <c r="BH66" i="1"/>
  <c r="BK12" i="1"/>
  <c r="AD39" i="1"/>
  <c r="AD42" i="1"/>
  <c r="AA44" i="1"/>
  <c r="U11" i="1"/>
  <c r="AG13" i="1"/>
  <c r="CC32" i="1"/>
  <c r="BW34" i="1"/>
  <c r="BQ7" i="1"/>
  <c r="L19" i="1"/>
  <c r="BB22" i="1"/>
  <c r="BT22" i="1"/>
  <c r="AG27" i="1"/>
  <c r="I31" i="1"/>
  <c r="O56" i="1"/>
  <c r="AA58" i="1"/>
  <c r="AA37" i="1"/>
  <c r="BE39" i="1"/>
  <c r="BK40" i="1"/>
  <c r="BQ41" i="1"/>
  <c r="R42" i="1"/>
  <c r="BE42" i="1"/>
  <c r="I51" i="1"/>
  <c r="AA51" i="1"/>
  <c r="I54" i="1"/>
  <c r="BZ59" i="1"/>
  <c r="AA60" i="1"/>
  <c r="L66" i="1"/>
  <c r="AD66" i="1"/>
  <c r="BN66" i="1"/>
  <c r="AD75" i="1"/>
  <c r="BQ75" i="1"/>
  <c r="R56" i="1"/>
  <c r="AD70" i="1"/>
  <c r="R33" i="1"/>
  <c r="AG42" i="1"/>
  <c r="BN52" i="1"/>
  <c r="I66" i="1"/>
  <c r="I75" i="1"/>
  <c r="I78" i="1"/>
  <c r="AG7" i="1"/>
  <c r="AD38" i="1"/>
  <c r="BH65" i="1"/>
  <c r="CF72" i="1"/>
  <c r="AG29" i="1"/>
  <c r="U33" i="1"/>
  <c r="BW24" i="1"/>
  <c r="BB32" i="1"/>
  <c r="AG49" i="1"/>
  <c r="R58" i="1"/>
  <c r="AG61" i="1"/>
  <c r="L63" i="1"/>
  <c r="R64" i="1"/>
  <c r="BE64" i="1"/>
  <c r="CC65" i="1"/>
  <c r="X46" i="1"/>
  <c r="BH8" i="1"/>
  <c r="CF26" i="1"/>
  <c r="BB27" i="1"/>
  <c r="BQ29" i="1"/>
  <c r="BZ34" i="1"/>
  <c r="BN41" i="1"/>
  <c r="BE68" i="1"/>
  <c r="BK69" i="1"/>
  <c r="BT7" i="1"/>
  <c r="AA31" i="1"/>
  <c r="BW33" i="1"/>
  <c r="X40" i="1"/>
  <c r="BE53" i="1"/>
  <c r="U65" i="1"/>
  <c r="CF60" i="1"/>
  <c r="CF44" i="1"/>
  <c r="AG53" i="1"/>
  <c r="BQ67" i="1"/>
  <c r="AG82" i="1"/>
  <c r="BZ25" i="1"/>
  <c r="L41" i="1"/>
  <c r="BB64" i="1"/>
  <c r="AG67" i="1"/>
  <c r="AG73" i="1"/>
  <c r="U74" i="1"/>
  <c r="BK25" i="1"/>
  <c r="I34" i="1"/>
  <c r="BZ16" i="1"/>
  <c r="AG26" i="1"/>
  <c r="U27" i="1"/>
  <c r="I28" i="1"/>
  <c r="CC30" i="1"/>
  <c r="CF31" i="1"/>
  <c r="AG32" i="1"/>
  <c r="BN48" i="1"/>
  <c r="BW21" i="1"/>
  <c r="O23" i="1"/>
  <c r="AG23" i="1"/>
  <c r="U24" i="1"/>
  <c r="BZ24" i="1"/>
  <c r="I59" i="1"/>
  <c r="AA59" i="1"/>
  <c r="O63" i="1"/>
  <c r="AG63" i="1"/>
  <c r="BB63" i="1"/>
  <c r="BQ8" i="1"/>
  <c r="AG11" i="1"/>
  <c r="O14" i="1"/>
  <c r="R15" i="1"/>
  <c r="AG17" i="1"/>
  <c r="U21" i="1"/>
  <c r="AA22" i="1"/>
  <c r="AG60" i="1"/>
  <c r="I62" i="1"/>
  <c r="AD74" i="1"/>
  <c r="U40" i="1"/>
  <c r="U43" i="1"/>
  <c r="BN44" i="1"/>
  <c r="BZ8" i="1"/>
  <c r="BK31" i="1"/>
  <c r="BK37" i="1"/>
  <c r="AG39" i="1"/>
  <c r="CF41" i="1"/>
  <c r="X54" i="1"/>
  <c r="I57" i="1"/>
  <c r="X69" i="1"/>
  <c r="BE19" i="1"/>
  <c r="AD32" i="1"/>
  <c r="AG64" i="1"/>
  <c r="BN20" i="1"/>
  <c r="X25" i="1"/>
  <c r="BB29" i="1"/>
  <c r="AA34" i="1"/>
  <c r="BQ23" i="1"/>
  <c r="BT32" i="1"/>
  <c r="BB49" i="1"/>
  <c r="BB61" i="1"/>
  <c r="R73" i="1"/>
  <c r="X10" i="1"/>
  <c r="L11" i="1"/>
  <c r="CF11" i="1"/>
  <c r="BZ13" i="1"/>
  <c r="AG15" i="1"/>
  <c r="BB15" i="1"/>
  <c r="L17" i="1"/>
  <c r="AD17" i="1"/>
  <c r="O18" i="1"/>
  <c r="AG18" i="1"/>
  <c r="BT18" i="1"/>
  <c r="X22" i="1"/>
  <c r="AA25" i="1"/>
  <c r="BE29" i="1"/>
  <c r="BQ57" i="1"/>
  <c r="BQ63" i="1"/>
  <c r="O72" i="1"/>
  <c r="BW73" i="1"/>
  <c r="BW9" i="1"/>
  <c r="BQ11" i="1"/>
  <c r="R12" i="1"/>
  <c r="X13" i="1"/>
  <c r="L14" i="1"/>
  <c r="CF14" i="1"/>
  <c r="CC16" i="1"/>
  <c r="R11" i="1"/>
  <c r="BE20" i="1"/>
  <c r="BZ41" i="1"/>
  <c r="BN42" i="1"/>
  <c r="AD45" i="1"/>
  <c r="BN47" i="1"/>
  <c r="CC58" i="1"/>
  <c r="BK73" i="1"/>
  <c r="AG76" i="1"/>
  <c r="U77" i="1"/>
  <c r="BH77" i="1"/>
  <c r="BN78" i="1"/>
  <c r="O79" i="1"/>
  <c r="BW10" i="1"/>
  <c r="BN15" i="1"/>
  <c r="U47" i="1"/>
  <c r="CC54" i="1"/>
  <c r="BN71" i="1"/>
  <c r="AG72" i="1"/>
  <c r="BK11" i="1"/>
  <c r="R13" i="1"/>
  <c r="BK14" i="1"/>
  <c r="BZ14" i="1"/>
  <c r="R16" i="1"/>
  <c r="BZ20" i="1"/>
  <c r="CC21" i="1"/>
  <c r="AD22" i="1"/>
  <c r="BW23" i="1"/>
  <c r="BK24" i="1"/>
  <c r="CC27" i="1"/>
  <c r="BW44" i="1"/>
  <c r="AG46" i="1"/>
  <c r="AD48" i="1"/>
  <c r="BQ48" i="1"/>
  <c r="O52" i="1"/>
  <c r="AG52" i="1"/>
  <c r="U53" i="1"/>
  <c r="BZ53" i="1"/>
  <c r="U56" i="1"/>
  <c r="BH56" i="1"/>
  <c r="AA57" i="1"/>
  <c r="AG62" i="1"/>
  <c r="O65" i="1"/>
  <c r="AG65" i="1"/>
  <c r="BB65" i="1"/>
  <c r="U66" i="1"/>
  <c r="BK67" i="1"/>
  <c r="AG75" i="1"/>
  <c r="BB75" i="1"/>
  <c r="R76" i="1"/>
  <c r="R79" i="1"/>
  <c r="AG81" i="1"/>
  <c r="BZ77" i="1"/>
  <c r="AA78" i="1"/>
  <c r="AG79" i="1"/>
  <c r="BT79" i="1"/>
  <c r="CF12" i="1"/>
  <c r="CF15" i="1"/>
  <c r="BH17" i="1"/>
  <c r="AD19" i="1"/>
  <c r="BQ19" i="1"/>
  <c r="BQ31" i="1"/>
  <c r="BZ57" i="1"/>
  <c r="AA71" i="1"/>
  <c r="CC11" i="1"/>
  <c r="AH4" i="1"/>
  <c r="AD15" i="1"/>
  <c r="BK17" i="1"/>
  <c r="AG19" i="1"/>
  <c r="BH23" i="1"/>
  <c r="BZ32" i="1"/>
  <c r="U41" i="1"/>
  <c r="BW46" i="1"/>
  <c r="X47" i="1"/>
  <c r="X50" i="1"/>
  <c r="BK50" i="1"/>
  <c r="BB52" i="1"/>
  <c r="BT52" i="1"/>
  <c r="CF54" i="1"/>
  <c r="O55" i="1"/>
  <c r="AG55" i="1"/>
  <c r="BT55" i="1"/>
  <c r="BW62" i="1"/>
  <c r="X63" i="1"/>
  <c r="BK63" i="1"/>
  <c r="AD64" i="1"/>
  <c r="BN67" i="1"/>
  <c r="L68" i="1"/>
  <c r="AD68" i="1"/>
  <c r="BQ68" i="1"/>
  <c r="BE69" i="1"/>
  <c r="X70" i="1"/>
  <c r="BZ15" i="1"/>
  <c r="AD16" i="1"/>
  <c r="BE18" i="1"/>
  <c r="CF20" i="1"/>
  <c r="AG21" i="1"/>
  <c r="BB21" i="1"/>
  <c r="BQ21" i="1"/>
  <c r="X23" i="1"/>
  <c r="BN24" i="1"/>
  <c r="AG25" i="1"/>
  <c r="BB25" i="1"/>
  <c r="I27" i="1"/>
  <c r="AG28" i="1"/>
  <c r="U29" i="1"/>
  <c r="CF30" i="1"/>
  <c r="O31" i="1"/>
  <c r="AG31" i="1"/>
  <c r="BB31" i="1"/>
  <c r="BH33" i="1"/>
  <c r="AD34" i="1"/>
  <c r="AG35" i="1"/>
  <c r="U36" i="1"/>
  <c r="BH36" i="1"/>
  <c r="CF37" i="1"/>
  <c r="O38" i="1"/>
  <c r="AG38" i="1"/>
  <c r="BT38" i="1"/>
  <c r="AG41" i="1"/>
  <c r="BK43" i="1"/>
  <c r="AG47" i="1"/>
  <c r="BH51" i="1"/>
  <c r="BH52" i="1"/>
  <c r="BN53" i="1"/>
  <c r="CF53" i="1"/>
  <c r="AG54" i="1"/>
  <c r="BQ54" i="1"/>
  <c r="R55" i="1"/>
  <c r="CC57" i="1"/>
  <c r="BQ58" i="1"/>
  <c r="O59" i="1"/>
  <c r="AG59" i="1"/>
  <c r="BB59" i="1"/>
  <c r="AA62" i="1"/>
  <c r="BN62" i="1"/>
  <c r="BT63" i="1"/>
  <c r="BZ64" i="1"/>
  <c r="I65" i="1"/>
  <c r="O66" i="1"/>
  <c r="AG66" i="1"/>
  <c r="BQ66" i="1"/>
  <c r="R67" i="1"/>
  <c r="BK68" i="1"/>
  <c r="BQ70" i="1"/>
  <c r="I72" i="1"/>
  <c r="BZ72" i="1"/>
  <c r="CC73" i="1"/>
  <c r="BT81" i="1"/>
  <c r="BH82" i="1"/>
  <c r="AG78" i="1"/>
  <c r="BB78" i="1"/>
  <c r="BT78" i="1"/>
  <c r="U79" i="1"/>
  <c r="AF4" i="1"/>
  <c r="BT17" i="1"/>
  <c r="I19" i="1"/>
  <c r="I23" i="1"/>
  <c r="BW25" i="1"/>
  <c r="BK26" i="1"/>
  <c r="CC29" i="1"/>
  <c r="R31" i="1"/>
  <c r="BW32" i="1"/>
  <c r="BK36" i="1"/>
  <c r="O37" i="1"/>
  <c r="BK39" i="1"/>
  <c r="CC39" i="1"/>
  <c r="AD40" i="1"/>
  <c r="BW41" i="1"/>
  <c r="BN43" i="1"/>
  <c r="CF43" i="1"/>
  <c r="BT44" i="1"/>
  <c r="BK48" i="1"/>
  <c r="X51" i="1"/>
  <c r="BK51" i="1"/>
  <c r="I52" i="1"/>
  <c r="BK52" i="1"/>
  <c r="CC52" i="1"/>
  <c r="BQ53" i="1"/>
  <c r="U55" i="1"/>
  <c r="BZ55" i="1"/>
  <c r="CF56" i="1"/>
  <c r="AG57" i="1"/>
  <c r="AG58" i="1"/>
  <c r="BB58" i="1"/>
  <c r="BZ60" i="1"/>
  <c r="L62" i="1"/>
  <c r="AD62" i="1"/>
  <c r="BQ62" i="1"/>
  <c r="I64" i="1"/>
  <c r="CC64" i="1"/>
  <c r="BB66" i="1"/>
  <c r="U67" i="1"/>
  <c r="U71" i="1"/>
  <c r="AA72" i="1"/>
  <c r="BN72" i="1"/>
  <c r="BW74" i="1"/>
  <c r="BK76" i="1"/>
  <c r="AD77" i="1"/>
  <c r="R78" i="1"/>
  <c r="BK79" i="1"/>
  <c r="CC79" i="1"/>
  <c r="U81" i="1"/>
  <c r="AF3" i="1"/>
  <c r="CF21" i="1"/>
  <c r="BE41" i="1"/>
  <c r="P4" i="1"/>
  <c r="O33" i="1"/>
  <c r="I69" i="1"/>
  <c r="U80" i="1"/>
  <c r="BH80" i="1"/>
  <c r="BN81" i="1"/>
  <c r="L81" i="1"/>
  <c r="X30" i="1"/>
  <c r="R50" i="1"/>
  <c r="BE50" i="1"/>
  <c r="BU5" i="1"/>
  <c r="O11" i="1"/>
  <c r="CF19" i="1"/>
  <c r="L31" i="1"/>
  <c r="BQ39" i="1"/>
  <c r="BY5" i="1"/>
  <c r="BB7" i="1"/>
  <c r="R20" i="1"/>
  <c r="AA30" i="1"/>
  <c r="U63" i="1"/>
  <c r="BH29" i="1"/>
  <c r="BT57" i="1"/>
  <c r="BB62" i="1"/>
  <c r="BT62" i="1"/>
  <c r="R7" i="1"/>
  <c r="AZ3" i="1"/>
  <c r="BB24" i="1"/>
  <c r="I47" i="1"/>
  <c r="CF47" i="1"/>
  <c r="N5" i="1"/>
  <c r="BG3" i="1"/>
  <c r="AO3" i="1"/>
  <c r="BX5" i="1"/>
  <c r="CB3" i="1"/>
  <c r="CA3" i="1"/>
  <c r="BV4" i="1"/>
  <c r="BA5" i="1"/>
  <c r="AN3" i="1"/>
  <c r="AC3" i="1"/>
  <c r="BU4" i="1"/>
  <c r="H3" i="1"/>
  <c r="AI5" i="1"/>
  <c r="BL3" i="1"/>
  <c r="P5" i="1"/>
  <c r="AB3" i="1"/>
  <c r="W3" i="1"/>
  <c r="AZ4" i="1"/>
  <c r="BB18" i="1"/>
  <c r="BB38" i="1"/>
  <c r="BZ46" i="1"/>
  <c r="BN21" i="1"/>
  <c r="CF8" i="1"/>
  <c r="BT13" i="1"/>
  <c r="U68" i="1"/>
  <c r="BH68" i="1"/>
  <c r="AA69" i="1"/>
  <c r="BR3" i="1"/>
  <c r="R21" i="1"/>
  <c r="BB20" i="1"/>
  <c r="BK30" i="1"/>
  <c r="CC31" i="1"/>
  <c r="X64" i="1"/>
  <c r="BE79" i="1"/>
  <c r="BC3" i="1"/>
  <c r="AD31" i="1"/>
  <c r="BW63" i="1"/>
  <c r="R25" i="1"/>
  <c r="I30" i="1"/>
  <c r="AL3" i="1"/>
  <c r="AA47" i="1"/>
  <c r="R10" i="1"/>
  <c r="BQ17" i="1"/>
  <c r="BN22" i="1"/>
  <c r="BZ42" i="1"/>
  <c r="CC43" i="1"/>
  <c r="O9" i="1"/>
  <c r="R8" i="1"/>
  <c r="U8" i="1"/>
  <c r="BQ10" i="1"/>
  <c r="CF18" i="1"/>
  <c r="BB19" i="1"/>
  <c r="O62" i="1"/>
  <c r="BQ82" i="1"/>
  <c r="BT10" i="1"/>
  <c r="U17" i="1"/>
  <c r="R18" i="1"/>
  <c r="BB23" i="1"/>
  <c r="R24" i="1"/>
  <c r="R45" i="1"/>
  <c r="BT45" i="1"/>
  <c r="BW57" i="1"/>
  <c r="BN75" i="1"/>
  <c r="CC81" i="1"/>
  <c r="BE17" i="1"/>
  <c r="BS3" i="1"/>
  <c r="U20" i="1"/>
  <c r="BT20" i="1"/>
  <c r="BH27" i="1"/>
  <c r="I29" i="1"/>
  <c r="BQ38" i="1"/>
  <c r="R39" i="1"/>
  <c r="X42" i="1"/>
  <c r="O81" i="1"/>
  <c r="X17" i="1"/>
  <c r="U18" i="1"/>
  <c r="X27" i="1"/>
  <c r="BQ43" i="1"/>
  <c r="U48" i="1"/>
  <c r="X79" i="1"/>
  <c r="I80" i="1"/>
  <c r="BN80" i="1"/>
  <c r="CF81" i="1"/>
  <c r="AD12" i="1"/>
  <c r="X41" i="1"/>
  <c r="I46" i="1"/>
  <c r="BT53" i="1"/>
  <c r="BK57" i="1"/>
  <c r="AA74" i="1"/>
  <c r="CF74" i="1"/>
  <c r="I10" i="1"/>
  <c r="L13" i="1"/>
  <c r="X15" i="1"/>
  <c r="X18" i="1"/>
  <c r="X24" i="1"/>
  <c r="AA27" i="1"/>
  <c r="L28" i="1"/>
  <c r="BN35" i="1"/>
  <c r="BH49" i="1"/>
  <c r="BZ9" i="1"/>
  <c r="AA10" i="1"/>
  <c r="BZ23" i="1"/>
  <c r="CC26" i="1"/>
  <c r="BN27" i="1"/>
  <c r="L34" i="1"/>
  <c r="I40" i="1"/>
  <c r="BQ52" i="1"/>
  <c r="O57" i="1"/>
  <c r="L72" i="1"/>
  <c r="AA7" i="1"/>
  <c r="L8" i="1"/>
  <c r="AD8" i="1"/>
  <c r="I9" i="1"/>
  <c r="BK10" i="1"/>
  <c r="CC10" i="1"/>
  <c r="AA11" i="1"/>
  <c r="BN13" i="1"/>
  <c r="CF13" i="1"/>
  <c r="AA15" i="1"/>
  <c r="AA16" i="1"/>
  <c r="BK16" i="1"/>
  <c r="BZ17" i="1"/>
  <c r="I18" i="1"/>
  <c r="CC20" i="1"/>
  <c r="I22" i="1"/>
  <c r="BK23" i="1"/>
  <c r="CC24" i="1"/>
  <c r="AD25" i="1"/>
  <c r="CE4" i="1"/>
  <c r="AA40" i="1"/>
  <c r="BZ40" i="1"/>
  <c r="BK49" i="1"/>
  <c r="R51" i="1"/>
  <c r="R52" i="1"/>
  <c r="AA55" i="1"/>
  <c r="BE75" i="1"/>
  <c r="U76" i="1"/>
  <c r="BE76" i="1"/>
  <c r="BT16" i="1"/>
  <c r="R23" i="1"/>
  <c r="BZ29" i="1"/>
  <c r="BH34" i="1"/>
  <c r="BQ37" i="1"/>
  <c r="BB39" i="1"/>
  <c r="BB48" i="1"/>
  <c r="BE7" i="1"/>
  <c r="R19" i="1"/>
  <c r="BZ27" i="1"/>
  <c r="AA29" i="1"/>
  <c r="BB37" i="1"/>
  <c r="R38" i="1"/>
  <c r="BH67" i="1"/>
  <c r="BH79" i="1"/>
  <c r="O82" i="1"/>
  <c r="U7" i="1"/>
  <c r="L12" i="1"/>
  <c r="BW16" i="1"/>
  <c r="AA28" i="1"/>
  <c r="BK29" i="1"/>
  <c r="AD30" i="1"/>
  <c r="R37" i="1"/>
  <c r="R61" i="1"/>
  <c r="BZ12" i="1"/>
  <c r="V3" i="1"/>
  <c r="BW15" i="1"/>
  <c r="U19" i="1"/>
  <c r="BT21" i="1"/>
  <c r="BH41" i="1"/>
  <c r="BX3" i="1"/>
  <c r="I17" i="1"/>
  <c r="BZ33" i="1"/>
  <c r="BW40" i="1"/>
  <c r="AD13" i="1"/>
  <c r="BH15" i="1"/>
  <c r="L25" i="1"/>
  <c r="I41" i="1"/>
  <c r="AA50" i="1"/>
  <c r="BZ54" i="1"/>
  <c r="M4" i="1"/>
  <c r="BQ27" i="1"/>
  <c r="R29" i="1"/>
  <c r="BZ48" i="1"/>
  <c r="L50" i="1"/>
  <c r="BE51" i="1"/>
  <c r="CF62" i="1"/>
  <c r="L67" i="1"/>
  <c r="BH70" i="1"/>
  <c r="CF71" i="1"/>
  <c r="R9" i="1"/>
  <c r="X28" i="1"/>
  <c r="BU3" i="1"/>
  <c r="BE8" i="1"/>
  <c r="BE23" i="1"/>
  <c r="AD36" i="1"/>
  <c r="O75" i="1"/>
  <c r="AA80" i="1"/>
  <c r="CF80" i="1"/>
  <c r="BH7" i="1"/>
  <c r="BE15" i="1"/>
  <c r="BW20" i="1"/>
  <c r="AA46" i="1"/>
  <c r="CF52" i="1"/>
  <c r="BB53" i="1"/>
  <c r="BN74" i="1"/>
  <c r="R77" i="1"/>
  <c r="X11" i="1"/>
  <c r="X16" i="1"/>
  <c r="Y3" i="1"/>
  <c r="BK8" i="1"/>
  <c r="CC12" i="1"/>
  <c r="AD14" i="1"/>
  <c r="J4" i="1"/>
  <c r="BN34" i="1"/>
  <c r="AA41" i="1"/>
  <c r="I50" i="1"/>
  <c r="L7" i="1"/>
  <c r="AD7" i="1"/>
  <c r="O8" i="1"/>
  <c r="AD9" i="1"/>
  <c r="BN10" i="1"/>
  <c r="AD11" i="1"/>
  <c r="BQ12" i="1"/>
  <c r="P3" i="1"/>
  <c r="L15" i="1"/>
  <c r="BN16" i="1"/>
  <c r="O17" i="1"/>
  <c r="L18" i="1"/>
  <c r="BK22" i="1"/>
  <c r="CC22" i="1"/>
  <c r="R26" i="1"/>
  <c r="BQ26" i="1"/>
  <c r="BB34" i="1"/>
  <c r="CC37" i="1"/>
  <c r="BK38" i="1"/>
  <c r="BN39" i="1"/>
  <c r="CF45" i="1"/>
  <c r="BK47" i="1"/>
  <c r="L49" i="1"/>
  <c r="AD49" i="1"/>
  <c r="BN49" i="1"/>
  <c r="U51" i="1"/>
  <c r="L55" i="1"/>
  <c r="BW59" i="1"/>
  <c r="CC61" i="1"/>
  <c r="R63" i="1"/>
  <c r="CC66" i="1"/>
  <c r="BB67" i="1"/>
  <c r="CF67" i="1"/>
  <c r="O22" i="1"/>
  <c r="CF22" i="1"/>
  <c r="CF23" i="1"/>
  <c r="BN25" i="1"/>
  <c r="CF25" i="1"/>
  <c r="BN26" i="1"/>
  <c r="AD28" i="1"/>
  <c r="BK28" i="1"/>
  <c r="AD29" i="1"/>
  <c r="CF36" i="1"/>
  <c r="BN37" i="1"/>
  <c r="CF38" i="1"/>
  <c r="R44" i="1"/>
  <c r="BK46" i="1"/>
  <c r="BB50" i="1"/>
  <c r="BT50" i="1"/>
  <c r="CC56" i="1"/>
  <c r="L57" i="1"/>
  <c r="CF59" i="1"/>
  <c r="X71" i="1"/>
  <c r="BK71" i="1"/>
  <c r="AD72" i="1"/>
  <c r="L73" i="1"/>
  <c r="AA73" i="1"/>
  <c r="BE77" i="1"/>
  <c r="BW77" i="1"/>
  <c r="X78" i="1"/>
  <c r="R81" i="1"/>
  <c r="BQ81" i="1"/>
  <c r="O40" i="1"/>
  <c r="BN46" i="1"/>
  <c r="O47" i="1"/>
  <c r="BZ69" i="1"/>
  <c r="BW75" i="1"/>
  <c r="BT76" i="1"/>
  <c r="BK78" i="1"/>
  <c r="BT8" i="1"/>
  <c r="BT9" i="1"/>
  <c r="U10" i="1"/>
  <c r="AK3" i="1"/>
  <c r="BE10" i="1"/>
  <c r="BZ11" i="1"/>
  <c r="BF3" i="1"/>
  <c r="U13" i="1"/>
  <c r="CF16" i="1"/>
  <c r="BH18" i="1"/>
  <c r="BH19" i="1"/>
  <c r="BH20" i="1"/>
  <c r="BE22" i="1"/>
  <c r="U23" i="1"/>
  <c r="BT25" i="1"/>
  <c r="BT26" i="1"/>
  <c r="X31" i="1"/>
  <c r="BH31" i="1"/>
  <c r="BW31" i="1"/>
  <c r="X32" i="1"/>
  <c r="I33" i="1"/>
  <c r="V4" i="1"/>
  <c r="BW43" i="1"/>
  <c r="CF46" i="1"/>
  <c r="BZ50" i="1"/>
  <c r="AD55" i="1"/>
  <c r="AD56" i="1"/>
  <c r="BW66" i="1"/>
  <c r="BW67" i="1"/>
  <c r="X68" i="1"/>
  <c r="BK70" i="1"/>
  <c r="AD71" i="1"/>
  <c r="X75" i="1"/>
  <c r="CF39" i="1"/>
  <c r="BN40" i="1"/>
  <c r="BT47" i="1"/>
  <c r="I8" i="1"/>
  <c r="BN11" i="1"/>
  <c r="I12" i="1"/>
  <c r="BH12" i="1"/>
  <c r="BW13" i="1"/>
  <c r="AA18" i="1"/>
  <c r="AA20" i="1"/>
  <c r="BT29" i="1"/>
  <c r="U30" i="1"/>
  <c r="BH30" i="1"/>
  <c r="BZ30" i="1"/>
  <c r="I32" i="1"/>
  <c r="CC34" i="1"/>
  <c r="L35" i="1"/>
  <c r="AD35" i="1"/>
  <c r="O36" i="1"/>
  <c r="BE37" i="1"/>
  <c r="BW42" i="1"/>
  <c r="W4" i="1"/>
  <c r="X43" i="1"/>
  <c r="BH43" i="1"/>
  <c r="BZ44" i="1"/>
  <c r="AA45" i="1"/>
  <c r="R54" i="1"/>
  <c r="CF57" i="1"/>
  <c r="BZ67" i="1"/>
  <c r="CC68" i="1"/>
  <c r="AD69" i="1"/>
  <c r="R74" i="1"/>
  <c r="BH13" i="1"/>
  <c r="BB14" i="1"/>
  <c r="AE3" i="1"/>
  <c r="CC15" i="1"/>
  <c r="AD18" i="1"/>
  <c r="BZ19" i="1"/>
  <c r="R22" i="1"/>
  <c r="AD23" i="1"/>
  <c r="I24" i="1"/>
  <c r="BE26" i="1"/>
  <c r="R27" i="1"/>
  <c r="BR4" i="1"/>
  <c r="CC28" i="1"/>
  <c r="BQ32" i="1"/>
  <c r="CF32" i="1"/>
  <c r="BB33" i="1"/>
  <c r="U34" i="1"/>
  <c r="BQ34" i="1"/>
  <c r="BB36" i="1"/>
  <c r="BT36" i="1"/>
  <c r="U37" i="1"/>
  <c r="BT37" i="1"/>
  <c r="BT54" i="1"/>
  <c r="BN58" i="1"/>
  <c r="L59" i="1"/>
  <c r="AD59" i="1"/>
  <c r="BB60" i="1"/>
  <c r="BQ61" i="1"/>
  <c r="AD67" i="1"/>
  <c r="BH75" i="1"/>
  <c r="CC77" i="1"/>
  <c r="L78" i="1"/>
  <c r="AD78" i="1"/>
  <c r="AD79" i="1"/>
  <c r="X14" i="1"/>
  <c r="BQ14" i="1"/>
  <c r="CF17" i="1"/>
  <c r="BN18" i="1"/>
  <c r="AA19" i="1"/>
  <c r="I21" i="1"/>
  <c r="BQ22" i="1"/>
  <c r="BH25" i="1"/>
  <c r="BP5" i="1"/>
  <c r="BT33" i="1"/>
  <c r="O35" i="1"/>
  <c r="O42" i="1"/>
  <c r="R43" i="1"/>
  <c r="BB43" i="1"/>
  <c r="O46" i="1"/>
  <c r="X48" i="1"/>
  <c r="U50" i="1"/>
  <c r="BE54" i="1"/>
  <c r="BE56" i="1"/>
  <c r="BW56" i="1"/>
  <c r="O58" i="1"/>
  <c r="BT60" i="1"/>
  <c r="R62" i="1"/>
  <c r="BZ63" i="1"/>
  <c r="CF65" i="1"/>
  <c r="BH74" i="1"/>
  <c r="BZ74" i="1"/>
  <c r="AA75" i="1"/>
  <c r="BZ82" i="1"/>
  <c r="BQ15" i="1"/>
  <c r="O16" i="1"/>
  <c r="BN23" i="1"/>
  <c r="I26" i="1"/>
  <c r="BE27" i="1"/>
  <c r="BW27" i="1"/>
  <c r="X34" i="1"/>
  <c r="BE34" i="1"/>
  <c r="BB35" i="1"/>
  <c r="BE36" i="1"/>
  <c r="BW36" i="1"/>
  <c r="BW37" i="1"/>
  <c r="R41" i="1"/>
  <c r="BB41" i="1"/>
  <c r="BQ45" i="1"/>
  <c r="BT46" i="1"/>
  <c r="BE49" i="1"/>
  <c r="BE60" i="1"/>
  <c r="I63" i="1"/>
  <c r="AA63" i="1"/>
  <c r="BN64" i="1"/>
  <c r="BQ65" i="1"/>
  <c r="BH73" i="1"/>
  <c r="I82" i="1"/>
  <c r="CC82" i="1"/>
  <c r="AQ3" i="1"/>
  <c r="BK32" i="1"/>
  <c r="I37" i="1"/>
  <c r="BE38" i="1"/>
  <c r="CC40" i="1"/>
  <c r="BK41" i="1"/>
  <c r="I42" i="1"/>
  <c r="BK42" i="1"/>
  <c r="BE44" i="1"/>
  <c r="BE47" i="1"/>
  <c r="BW47" i="1"/>
  <c r="I48" i="1"/>
  <c r="O49" i="1"/>
  <c r="BN51" i="1"/>
  <c r="BQ56" i="1"/>
  <c r="U59" i="1"/>
  <c r="BH59" i="1"/>
  <c r="I60" i="1"/>
  <c r="BK60" i="1"/>
  <c r="BH61" i="1"/>
  <c r="BZ62" i="1"/>
  <c r="CC63" i="1"/>
  <c r="O64" i="1"/>
  <c r="CF66" i="1"/>
  <c r="BT71" i="1"/>
  <c r="BQ74" i="1"/>
  <c r="BQ77" i="1"/>
  <c r="BN79" i="1"/>
  <c r="BZ36" i="1"/>
  <c r="BH37" i="1"/>
  <c r="CF70" i="1"/>
  <c r="BJ4" i="1"/>
  <c r="CF28" i="1"/>
  <c r="BN33" i="1"/>
  <c r="CF33" i="1"/>
  <c r="O34" i="1"/>
  <c r="BH35" i="1"/>
  <c r="BW38" i="1"/>
  <c r="X39" i="1"/>
  <c r="BW39" i="1"/>
  <c r="CF40" i="1"/>
  <c r="O41" i="1"/>
  <c r="CC41" i="1"/>
  <c r="BZ43" i="1"/>
  <c r="BW45" i="1"/>
  <c r="BH46" i="1"/>
  <c r="BH47" i="1"/>
  <c r="L48" i="1"/>
  <c r="BH48" i="1"/>
  <c r="BN50" i="1"/>
  <c r="I53" i="1"/>
  <c r="AD54" i="1"/>
  <c r="BH54" i="1"/>
  <c r="BQ55" i="1"/>
  <c r="CF55" i="1"/>
  <c r="X59" i="1"/>
  <c r="BK59" i="1"/>
  <c r="L60" i="1"/>
  <c r="CA5" i="1"/>
  <c r="CC62" i="1"/>
  <c r="O68" i="1"/>
  <c r="BC5" i="1"/>
  <c r="BT72" i="1"/>
  <c r="CF73" i="1"/>
  <c r="BT74" i="1"/>
  <c r="BB76" i="1"/>
  <c r="BB77" i="1"/>
  <c r="BT77" i="1"/>
  <c r="U78" i="1"/>
  <c r="CF79" i="1"/>
  <c r="BW51" i="1"/>
  <c r="L53" i="1"/>
  <c r="O54" i="1"/>
  <c r="BW54" i="1"/>
  <c r="BN55" i="1"/>
  <c r="I56" i="1"/>
  <c r="CC59" i="1"/>
  <c r="BE62" i="1"/>
  <c r="BT64" i="1"/>
  <c r="BE65" i="1"/>
  <c r="CF68" i="1"/>
  <c r="O69" i="1"/>
  <c r="BN69" i="1"/>
  <c r="CC69" i="1"/>
  <c r="L70" i="1"/>
  <c r="CC70" i="1"/>
  <c r="BQ71" i="1"/>
  <c r="BW78" i="1"/>
  <c r="BW80" i="1"/>
  <c r="CC50" i="1"/>
  <c r="BQ60" i="1"/>
  <c r="BK65" i="1"/>
  <c r="BW71" i="1"/>
  <c r="L74" i="1"/>
  <c r="CC75" i="1"/>
  <c r="BZ76" i="1"/>
  <c r="I77" i="1"/>
  <c r="I79" i="1"/>
  <c r="BW81" i="1"/>
  <c r="BT82" i="1"/>
  <c r="O51" i="1"/>
  <c r="I58" i="1"/>
  <c r="BE58" i="1"/>
  <c r="BK64" i="1"/>
  <c r="BN65" i="1"/>
  <c r="BK66" i="1"/>
  <c r="BT70" i="1"/>
  <c r="BH71" i="1"/>
  <c r="BZ71" i="1"/>
  <c r="CF75" i="1"/>
  <c r="O76" i="1"/>
  <c r="BN77" i="1"/>
  <c r="BK80" i="1"/>
  <c r="CC80" i="1"/>
  <c r="BF4" i="1"/>
  <c r="Q5" i="1"/>
  <c r="BD5" i="1"/>
  <c r="BW7" i="1"/>
  <c r="BV3" i="1"/>
  <c r="BB10" i="1"/>
  <c r="L27" i="1"/>
  <c r="BT27" i="1"/>
  <c r="BW53" i="1"/>
  <c r="CC60" i="1"/>
  <c r="BQ72" i="1"/>
  <c r="CB5" i="1"/>
  <c r="J3" i="1"/>
  <c r="BO3" i="1"/>
  <c r="BJ5" i="1"/>
  <c r="BP3" i="1"/>
  <c r="AK4" i="1"/>
  <c r="S5" i="1"/>
  <c r="AL5" i="1"/>
  <c r="BK7" i="1"/>
  <c r="BJ3" i="1"/>
  <c r="CC14" i="1"/>
  <c r="BT19" i="1"/>
  <c r="BV5" i="1"/>
  <c r="AQ5" i="1"/>
  <c r="V5" i="1"/>
  <c r="BM4" i="1"/>
  <c r="AC4" i="1"/>
  <c r="BR5" i="1"/>
  <c r="BY4" i="1"/>
  <c r="BA4" i="1"/>
  <c r="Q4" i="1"/>
  <c r="AE5" i="1"/>
  <c r="J5" i="1"/>
  <c r="AL4" i="1"/>
  <c r="BF5" i="1"/>
  <c r="BL4" i="1"/>
  <c r="O27" i="1"/>
  <c r="AR3" i="1"/>
  <c r="Q3" i="1"/>
  <c r="BA3" i="1"/>
  <c r="Y4" i="1"/>
  <c r="BI4" i="1"/>
  <c r="CD4" i="1"/>
  <c r="T5" i="1"/>
  <c r="BL5" i="1"/>
  <c r="BE24" i="1"/>
  <c r="BM3" i="1"/>
  <c r="BE12" i="1"/>
  <c r="O28" i="1"/>
  <c r="AI4" i="1"/>
  <c r="K3" i="1"/>
  <c r="BX4" i="1"/>
  <c r="Z4" i="1"/>
  <c r="Z5" i="1"/>
  <c r="S3" i="1"/>
  <c r="K4" i="1"/>
  <c r="AR4" i="1"/>
  <c r="AO5" i="1"/>
  <c r="BN9" i="1"/>
  <c r="BW22" i="1"/>
  <c r="BE25" i="1"/>
  <c r="BW29" i="1"/>
  <c r="BZ45" i="1"/>
  <c r="Z3" i="1"/>
  <c r="CF27" i="1"/>
  <c r="BT28" i="1"/>
  <c r="BT12" i="1"/>
  <c r="L16" i="1"/>
  <c r="CD3" i="1"/>
  <c r="BG4" i="1"/>
  <c r="AQ4" i="1"/>
  <c r="BM5" i="1"/>
  <c r="AU3" i="1"/>
  <c r="T3" i="1"/>
  <c r="BD3" i="1"/>
  <c r="AB4" i="1"/>
  <c r="AB5" i="1"/>
  <c r="AU5" i="1"/>
  <c r="BO5" i="1"/>
  <c r="O19" i="1"/>
  <c r="BE21" i="1"/>
  <c r="BK35" i="1"/>
  <c r="CC38" i="1"/>
  <c r="BK45" i="1"/>
  <c r="AK5" i="1"/>
  <c r="AN5" i="1"/>
  <c r="AH3" i="1"/>
  <c r="L24" i="1"/>
  <c r="BT24" i="1"/>
  <c r="M3" i="1"/>
  <c r="CE3" i="1"/>
  <c r="BI3" i="1"/>
  <c r="AT3" i="1"/>
  <c r="BY3" i="1"/>
  <c r="AT4" i="1"/>
  <c r="G5" i="1"/>
  <c r="AC5" i="1"/>
  <c r="N4" i="1"/>
  <c r="AE4" i="1"/>
  <c r="AU4" i="1"/>
  <c r="BS4" i="1"/>
  <c r="H5" i="1"/>
  <c r="AZ5" i="1"/>
  <c r="AI3" i="1"/>
  <c r="I14" i="1"/>
  <c r="O21" i="1"/>
  <c r="BQ24" i="1"/>
  <c r="CF24" i="1"/>
  <c r="BQ28" i="1"/>
  <c r="BH32" i="1"/>
  <c r="O45" i="1"/>
  <c r="CF76" i="1"/>
  <c r="O7" i="1"/>
  <c r="BB9" i="1"/>
  <c r="BQ9" i="1"/>
  <c r="BW19" i="1"/>
  <c r="BZ35" i="1"/>
  <c r="L39" i="1"/>
  <c r="L44" i="1"/>
  <c r="BH50" i="1"/>
  <c r="BE74" i="1"/>
  <c r="BB82" i="1"/>
  <c r="BW18" i="1"/>
  <c r="BH24" i="1"/>
  <c r="CE5" i="1"/>
  <c r="K5" i="1"/>
  <c r="W5" i="1"/>
  <c r="AF5" i="1"/>
  <c r="AR5" i="1"/>
  <c r="BG5" i="1"/>
  <c r="BS5" i="1"/>
  <c r="BE9" i="1"/>
  <c r="I13" i="1"/>
  <c r="CC13" i="1"/>
  <c r="BK19" i="1"/>
  <c r="L43" i="1"/>
  <c r="N3" i="1"/>
  <c r="G4" i="1"/>
  <c r="S4" i="1"/>
  <c r="AN4" i="1"/>
  <c r="BC4" i="1"/>
  <c r="BO4" i="1"/>
  <c r="CA4" i="1"/>
  <c r="O15" i="1"/>
  <c r="BT15" i="1"/>
  <c r="BH16" i="1"/>
  <c r="BK18" i="1"/>
  <c r="BZ18" i="1"/>
  <c r="BZ22" i="1"/>
  <c r="BH44" i="1"/>
  <c r="CC46" i="1"/>
  <c r="H4" i="1"/>
  <c r="T4" i="1"/>
  <c r="AO4" i="1"/>
  <c r="BD4" i="1"/>
  <c r="BP4" i="1"/>
  <c r="CB4" i="1"/>
  <c r="M5" i="1"/>
  <c r="Y5" i="1"/>
  <c r="AH5" i="1"/>
  <c r="AT5" i="1"/>
  <c r="BI5" i="1"/>
  <c r="BQ13" i="1"/>
  <c r="I25" i="1"/>
  <c r="CC25" i="1"/>
  <c r="BQ40" i="1"/>
  <c r="CD5" i="1"/>
  <c r="BZ10" i="1"/>
  <c r="BE13" i="1"/>
  <c r="BQ25" i="1"/>
  <c r="BN30" i="1"/>
  <c r="BT40" i="1"/>
  <c r="BB46" i="1"/>
  <c r="BH62" i="1"/>
  <c r="BB81" i="1"/>
  <c r="O78" i="1"/>
  <c r="BW79" i="1"/>
  <c r="CC45" i="1"/>
  <c r="BH53" i="1"/>
  <c r="BK55" i="1"/>
  <c r="CF63" i="1"/>
  <c r="I74" i="1"/>
  <c r="BZ31" i="1"/>
  <c r="O39" i="1"/>
  <c r="BT39" i="1"/>
  <c r="BN45" i="1"/>
  <c r="BE61" i="1"/>
  <c r="BH64" i="1"/>
  <c r="BN31" i="1"/>
  <c r="I36" i="1"/>
  <c r="CC36" i="1"/>
  <c r="CF42" i="1"/>
  <c r="BQ59" i="1"/>
  <c r="BW65" i="1"/>
  <c r="CC74" i="1"/>
  <c r="L36" i="1"/>
  <c r="BQ36" i="1"/>
  <c r="BB45" i="1"/>
  <c r="CF51" i="1"/>
  <c r="BT42" i="1"/>
  <c r="BE59" i="1"/>
  <c r="I45" i="1"/>
  <c r="BE45" i="1"/>
  <c r="O67" i="1"/>
  <c r="BE72" i="1"/>
  <c r="BW28" i="1"/>
  <c r="BQ46" i="1"/>
  <c r="BZ56" i="1"/>
  <c r="BZ68" i="1"/>
  <c r="I71" i="1"/>
  <c r="BE71" i="1"/>
  <c r="O77" i="1"/>
  <c r="BK77" i="1"/>
  <c r="BB80" i="1"/>
  <c r="CC47" i="1"/>
  <c r="BN56" i="1"/>
  <c r="BN68" i="1"/>
  <c r="O53" i="1"/>
  <c r="BK53" i="1"/>
  <c r="BQ47" i="1"/>
  <c r="BB56" i="1"/>
  <c r="BB68" i="1"/>
  <c r="CC71" i="1"/>
  <c r="BZ80" i="1"/>
  <c r="AY26" i="1" l="1"/>
  <c r="AY19" i="1"/>
  <c r="AY65" i="1"/>
  <c r="AY40" i="1"/>
  <c r="AY43" i="1"/>
  <c r="AY29" i="1"/>
  <c r="AY15" i="1"/>
  <c r="AY82" i="1"/>
  <c r="AY38" i="1"/>
  <c r="AY53" i="1"/>
  <c r="AY41" i="1"/>
  <c r="AY21" i="1"/>
  <c r="AY14" i="1"/>
  <c r="AY74" i="1"/>
  <c r="AY60" i="1"/>
  <c r="AY70" i="1"/>
  <c r="AY55" i="1"/>
  <c r="AY50" i="1"/>
  <c r="AY7" i="1"/>
  <c r="AY31" i="1"/>
  <c r="AY80" i="1"/>
  <c r="AY48" i="1"/>
  <c r="AY36" i="1"/>
  <c r="AY58" i="1"/>
  <c r="AY34" i="1"/>
  <c r="AY51" i="1"/>
  <c r="AY77" i="1"/>
  <c r="AY62" i="1"/>
  <c r="AY67" i="1"/>
  <c r="AY54" i="1"/>
  <c r="AY39" i="1"/>
  <c r="AY79" i="1"/>
  <c r="AY12" i="1"/>
  <c r="AY46" i="1"/>
  <c r="AY20" i="1"/>
  <c r="AY47" i="1"/>
  <c r="AY33" i="1"/>
  <c r="AY25" i="1"/>
  <c r="AY81" i="1"/>
  <c r="AY28" i="1"/>
  <c r="AY8" i="1"/>
  <c r="AY72" i="1"/>
  <c r="AY52" i="1"/>
  <c r="AY75" i="1"/>
  <c r="AY63" i="1"/>
  <c r="AY18" i="1"/>
  <c r="AY24" i="1"/>
  <c r="AS3" i="1"/>
  <c r="AV3" i="1"/>
  <c r="AY66" i="1"/>
  <c r="AY45" i="1"/>
  <c r="AY10" i="1"/>
  <c r="AY17" i="1"/>
  <c r="AY32" i="1"/>
  <c r="AY59" i="1"/>
  <c r="AA4" i="1"/>
  <c r="AW5" i="1"/>
  <c r="AJ4" i="1"/>
  <c r="AW3" i="1"/>
  <c r="AY13" i="1"/>
  <c r="AY73" i="1"/>
  <c r="AG4" i="1"/>
  <c r="AY27" i="1"/>
  <c r="AY49" i="1"/>
  <c r="AX4" i="1"/>
  <c r="AX5" i="1"/>
  <c r="AM3" i="1"/>
  <c r="AY61" i="1"/>
  <c r="AJ3" i="1"/>
  <c r="AV5" i="1"/>
  <c r="AY68" i="1"/>
  <c r="AY44" i="1"/>
  <c r="AW4" i="1"/>
  <c r="AJ5" i="1"/>
  <c r="AY23" i="1"/>
  <c r="AY11" i="1"/>
  <c r="AY69" i="1"/>
  <c r="I3" i="1"/>
  <c r="AY16" i="1"/>
  <c r="AP3" i="1"/>
  <c r="AX3" i="1"/>
  <c r="AY22" i="1"/>
  <c r="AV4" i="1"/>
  <c r="AY71" i="1"/>
  <c r="AY35" i="1"/>
  <c r="AY57" i="1"/>
  <c r="AY76" i="1"/>
  <c r="AM5" i="1"/>
  <c r="AY30" i="1"/>
  <c r="AY64" i="1"/>
  <c r="AY78" i="1"/>
  <c r="O3" i="1"/>
  <c r="U3" i="1"/>
  <c r="AP4" i="1"/>
  <c r="BG6" i="1"/>
  <c r="AP5" i="1"/>
  <c r="AM4" i="1"/>
  <c r="BU6" i="1"/>
  <c r="O4" i="1"/>
  <c r="AS5" i="1"/>
  <c r="AS4" i="1"/>
  <c r="AG3" i="1"/>
  <c r="P6" i="1"/>
  <c r="AE6" i="1"/>
  <c r="R4" i="1"/>
  <c r="BX6" i="1"/>
  <c r="AF6" i="1"/>
  <c r="AG5" i="1"/>
  <c r="R3" i="1"/>
  <c r="CF5" i="1"/>
  <c r="BB4" i="1"/>
  <c r="BE5" i="1"/>
  <c r="AZ6" i="1"/>
  <c r="CC4" i="1"/>
  <c r="BT5" i="1"/>
  <c r="AK6" i="1"/>
  <c r="AA3" i="1"/>
  <c r="BH5" i="1"/>
  <c r="BN4" i="1"/>
  <c r="BW5" i="1"/>
  <c r="AD4" i="1"/>
  <c r="BR6" i="1"/>
  <c r="CF3" i="1"/>
  <c r="BQ5" i="1"/>
  <c r="CA6" i="1"/>
  <c r="X3" i="1"/>
  <c r="V6" i="1"/>
  <c r="BB3" i="1"/>
  <c r="L4" i="1"/>
  <c r="X4" i="1"/>
  <c r="BK5" i="1"/>
  <c r="BC6" i="1"/>
  <c r="AD3" i="1"/>
  <c r="BE4" i="1"/>
  <c r="BF6" i="1"/>
  <c r="AI6" i="1"/>
  <c r="BZ4" i="1"/>
  <c r="BN5" i="1"/>
  <c r="U5" i="1"/>
  <c r="R5" i="1"/>
  <c r="BH3" i="1"/>
  <c r="BL6" i="1"/>
  <c r="U4" i="1"/>
  <c r="W6" i="1"/>
  <c r="X5" i="1"/>
  <c r="BH4" i="1"/>
  <c r="CC5" i="1"/>
  <c r="BQ4" i="1"/>
  <c r="BT3" i="1"/>
  <c r="BA6" i="1"/>
  <c r="AL6" i="1"/>
  <c r="AC6" i="1"/>
  <c r="AD5" i="1"/>
  <c r="BE3" i="1"/>
  <c r="AT6" i="1"/>
  <c r="CC3" i="1"/>
  <c r="Y6" i="1"/>
  <c r="BY6" i="1"/>
  <c r="BP6" i="1"/>
  <c r="BK4" i="1"/>
  <c r="Z6" i="1"/>
  <c r="AA5" i="1"/>
  <c r="BI6" i="1"/>
  <c r="BZ3" i="1"/>
  <c r="CD6" i="1"/>
  <c r="M6" i="1"/>
  <c r="BN3" i="1"/>
  <c r="O5" i="1"/>
  <c r="BK3" i="1"/>
  <c r="BW3" i="1"/>
  <c r="BQ3" i="1"/>
  <c r="CF4" i="1"/>
  <c r="L3" i="1"/>
  <c r="BS6" i="1"/>
  <c r="CE6" i="1"/>
  <c r="T6" i="1"/>
  <c r="BD6" i="1"/>
  <c r="N6" i="1"/>
  <c r="I4" i="1"/>
  <c r="G6" i="1"/>
  <c r="S6" i="1"/>
  <c r="Q6" i="1"/>
  <c r="BW4" i="1"/>
  <c r="AR6" i="1"/>
  <c r="BO6" i="1"/>
  <c r="BM6" i="1"/>
  <c r="BB5" i="1"/>
  <c r="AN6" i="1"/>
  <c r="AU6" i="1"/>
  <c r="AO6" i="1"/>
  <c r="AH6" i="1"/>
  <c r="AB6" i="1"/>
  <c r="AQ6" i="1"/>
  <c r="CB6" i="1"/>
  <c r="BZ5" i="1"/>
  <c r="L5" i="1"/>
  <c r="K6" i="1"/>
  <c r="H6" i="1"/>
  <c r="I5" i="1"/>
  <c r="J6" i="1"/>
  <c r="BV6" i="1"/>
  <c r="BJ6" i="1"/>
  <c r="BT4" i="1"/>
  <c r="AY3" i="1" l="1"/>
  <c r="AY5" i="1"/>
  <c r="AY4" i="1"/>
  <c r="AJ6" i="1"/>
  <c r="BH6" i="1"/>
  <c r="AW6" i="1"/>
  <c r="AS6" i="1"/>
  <c r="AM6" i="1"/>
  <c r="AP6" i="1"/>
  <c r="AX6" i="1"/>
  <c r="AY6" i="1" s="1"/>
  <c r="BZ6" i="1"/>
  <c r="AG6" i="1"/>
  <c r="BW6" i="1"/>
  <c r="AV6" i="1"/>
  <c r="R6" i="1"/>
  <c r="BK6" i="1"/>
  <c r="BQ6" i="1"/>
  <c r="X6" i="1"/>
  <c r="BB6" i="1"/>
  <c r="U6" i="1"/>
  <c r="BE6" i="1"/>
  <c r="CC6" i="1"/>
  <c r="CF6" i="1"/>
  <c r="BT6" i="1"/>
  <c r="I6" i="1"/>
  <c r="O6" i="1"/>
  <c r="AD6" i="1"/>
  <c r="AA6" i="1"/>
  <c r="BN6" i="1"/>
  <c r="L6" i="1"/>
</calcChain>
</file>

<file path=xl/sharedStrings.xml><?xml version="1.0" encoding="utf-8"?>
<sst xmlns="http://schemas.openxmlformats.org/spreadsheetml/2006/main" count="181" uniqueCount="89">
  <si>
    <t>Sn</t>
  </si>
  <si>
    <t>Registration</t>
  </si>
  <si>
    <t>ICTC Linkage Loss</t>
  </si>
  <si>
    <t>Newly Initiated on-ART Cascade</t>
  </si>
  <si>
    <t>MIS Cascade</t>
  </si>
  <si>
    <t>LFU Cascade</t>
  </si>
  <si>
    <t>CD4&lt;200 Cascade</t>
  </si>
  <si>
    <t>CD4&lt;200 testing Cascade</t>
  </si>
  <si>
    <t>PLHIV overdue for VL test Cascade</t>
  </si>
  <si>
    <t xml:space="preserve"> PLHIV on 3rd line ART due for VL </t>
  </si>
  <si>
    <t>PLHIV with unsuppressed VL underwent repeat VL</t>
  </si>
  <si>
    <t xml:space="preserve"> Index Testing Cascade</t>
  </si>
  <si>
    <t xml:space="preserve"> Discordant Couple Cascade</t>
  </si>
  <si>
    <t xml:space="preserve"> Newly HIV +ve PPW Cascade</t>
  </si>
  <si>
    <t xml:space="preserve"> PPW due for 32-36wk VL</t>
  </si>
  <si>
    <t xml:space="preserve"> EID Follow-up</t>
  </si>
  <si>
    <t xml:space="preserve"> ART linkage of +ve infants/children</t>
  </si>
  <si>
    <t xml:space="preserve"> TB Screening Cascade</t>
  </si>
  <si>
    <t xml:space="preserve"> FU for HIV TB co-infection</t>
  </si>
  <si>
    <t xml:space="preserve"> HIV-NCD Cascade</t>
  </si>
  <si>
    <t xml:space="preserve"> New PLHIV Registered with ARTC "LL" received </t>
  </si>
  <si>
    <t xml:space="preserve"> New client reg with CSC</t>
  </si>
  <si>
    <t>% of registration</t>
  </si>
  <si>
    <t xml:space="preserve"> clients yet to linked with ARTC "LL" received</t>
  </si>
  <si>
    <t>definite outcome</t>
  </si>
  <si>
    <t>% of definite outcome</t>
  </si>
  <si>
    <t xml:space="preserve"> NI "LL" received from ARTC</t>
  </si>
  <si>
    <t xml:space="preserve">NI clients contacted </t>
  </si>
  <si>
    <t>NI clients "LL" received 7mnth ago</t>
  </si>
  <si>
    <t>NI clients retainted on Tx at 7th mnth</t>
  </si>
  <si>
    <t xml:space="preserve"> MIS clients received from ARTC</t>
  </si>
  <si>
    <t xml:space="preserve"> LFU clients received from ARTC</t>
  </si>
  <si>
    <t>Definite outcome</t>
  </si>
  <si>
    <t xml:space="preserve"> clients whose CD4&lt;200 "LL" received</t>
  </si>
  <si>
    <t xml:space="preserve"> clients whose CD4&lt;200-Contacted</t>
  </si>
  <si>
    <t xml:space="preserve"> % Contacted</t>
  </si>
  <si>
    <t xml:space="preserve"> CD4&lt;200 Cascade "LL" received from 6month ago</t>
  </si>
  <si>
    <t xml:space="preserve"> clients whose CD4&lt;200 undergone testing</t>
  </si>
  <si>
    <t>% of Testing</t>
  </si>
  <si>
    <t xml:space="preserve"> VL test overdue clients "LL" received from ARTC </t>
  </si>
  <si>
    <t xml:space="preserve"> VL test overdue clients-Tested for VL</t>
  </si>
  <si>
    <t>% of VL tested</t>
  </si>
  <si>
    <t xml:space="preserve"> 3rd line clients due for VL "LL" received</t>
  </si>
  <si>
    <t xml:space="preserve"> 3rd line clients due for VL-Tested for VL</t>
  </si>
  <si>
    <t xml:space="preserve"> unsuppressed clients "LL" received from ARTC</t>
  </si>
  <si>
    <t xml:space="preserve"> unsuppressed clients tested for VL</t>
  </si>
  <si>
    <t xml:space="preserve"> FM eligible for HIV screening/testing </t>
  </si>
  <si>
    <t xml:space="preserve"> FM screened /tested for HIV</t>
  </si>
  <si>
    <t>% of HIV Testing</t>
  </si>
  <si>
    <t xml:space="preserve"> SP eligible for HIV screening/testing </t>
  </si>
  <si>
    <t xml:space="preserve"> SP screened /tested for HIV</t>
  </si>
  <si>
    <t xml:space="preserve"> BC eligible for HIV screening/testing</t>
  </si>
  <si>
    <t xml:space="preserve"> BC screened /tested for HIV</t>
  </si>
  <si>
    <t xml:space="preserve"> DC due for repeat test </t>
  </si>
  <si>
    <t xml:space="preserve"> DC retested for HIV</t>
  </si>
  <si>
    <t xml:space="preserve"> new PPW "LL" received</t>
  </si>
  <si>
    <t xml:space="preserve"> PPW initiated on ART</t>
  </si>
  <si>
    <t xml:space="preserve"> % of PPW initiated on ART</t>
  </si>
  <si>
    <t xml:space="preserve"> PPW due for 32-36wk VL "LL" rcvd</t>
  </si>
  <si>
    <t xml:space="preserve"> PPW due for 32-36wk VL-Tested for VL</t>
  </si>
  <si>
    <t>% of VL Testing</t>
  </si>
  <si>
    <t xml:space="preserve"> HEI tested for 1st EID</t>
  </si>
  <si>
    <t>Tested for EID</t>
  </si>
  <si>
    <t>% of EID testing</t>
  </si>
  <si>
    <t xml:space="preserve"> HEI tested for 2nd EID</t>
  </si>
  <si>
    <t xml:space="preserve"> HEI tested for 3rd EID</t>
  </si>
  <si>
    <t xml:space="preserve"> HEI tested for 4th EID</t>
  </si>
  <si>
    <t>Number of HEI found EID (+Ve)</t>
  </si>
  <si>
    <t>Number of HEI linked with ART</t>
  </si>
  <si>
    <t>% of ART Linkages</t>
  </si>
  <si>
    <t xml:space="preserve"> clients screened for TB 1st time</t>
  </si>
  <si>
    <t xml:space="preserve"> clients re-screened for TB</t>
  </si>
  <si>
    <t>% of TB Screening</t>
  </si>
  <si>
    <t xml:space="preserve"> HIV-TB clients "LL" received</t>
  </si>
  <si>
    <t xml:space="preserve"> HIV-TB clients-Adhere to ART &amp; ATT</t>
  </si>
  <si>
    <t>% of Adherence</t>
  </si>
  <si>
    <t xml:space="preserve"> HIV-NCD clients "LL" received</t>
  </si>
  <si>
    <t xml:space="preserve"> HIV-NCD clients contacted</t>
  </si>
  <si>
    <t>% of HIV-NCD clients contacted</t>
  </si>
  <si>
    <t>UPNP+</t>
  </si>
  <si>
    <t>Uttar Pradesh</t>
  </si>
  <si>
    <t>YRG</t>
  </si>
  <si>
    <t>DD,Raj,OD</t>
  </si>
  <si>
    <t>CHRI</t>
  </si>
  <si>
    <t>BR,WB,MG,TR, SK,NG,AS,AP</t>
  </si>
  <si>
    <t>Apr-Dec'25</t>
  </si>
  <si>
    <t xml:space="preserve"> Total eligible for HIV screening/testing</t>
  </si>
  <si>
    <t>screened /tested for HIV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</si>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</sst>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5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9" fontId="2" fillId="3" borderId="5" xfId="1" applyFont="1" applyFill="1" applyBorder="1" applyAlignment="1">
      <alignment horizontal="center" vertical="top" wrapText="1"/>
    </xf>
    <xf numFmtId="9" fontId="2" fillId="2" borderId="5" xfId="1" applyFont="1" applyFill="1" applyBorder="1" applyAlignment="1">
      <alignment horizontal="center" vertical="top" wrapText="1"/>
    </xf>
    <xf numFmtId="1" fontId="2" fillId="2" borderId="5" xfId="1" applyNumberFormat="1" applyFont="1" applyFill="1" applyBorder="1" applyAlignment="1">
      <alignment horizontal="center" vertical="top" wrapText="1"/>
    </xf>
    <xf numFmtId="9" fontId="3" fillId="4" borderId="10" xfId="1" applyFont="1" applyFill="1" applyBorder="1" applyAlignment="1">
      <alignment horizontal="center" vertical="top"/>
    </xf>
    <xf numFmtId="9" fontId="3" fillId="4" borderId="11" xfId="1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9" fontId="3" fillId="4" borderId="8" xfId="1" applyFont="1" applyFill="1" applyBorder="1" applyAlignment="1">
      <alignment horizontal="center" vertical="top"/>
    </xf>
    <xf numFmtId="9" fontId="3" fillId="4" borderId="6" xfId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1" fontId="2" fillId="5" borderId="5" xfId="1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9" fontId="0" fillId="0" borderId="0" xfId="1" applyFont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9" fontId="2" fillId="3" borderId="16" xfId="1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1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 wrapText="1"/>
    </xf>
    <xf numFmtId="9" fontId="3" fillId="3" borderId="17" xfId="1" applyFont="1" applyFill="1" applyBorder="1" applyAlignment="1">
      <alignment horizontal="center" vertical="top" wrapText="1"/>
    </xf>
    <xf numFmtId="9" fontId="3" fillId="3" borderId="5" xfId="1" applyFont="1" applyFill="1" applyBorder="1" applyAlignment="1">
      <alignment horizontal="center" vertical="top" wrapText="1"/>
    </xf>
    <xf numFmtId="9" fontId="3" fillId="2" borderId="5" xfId="1" applyFont="1" applyFill="1" applyBorder="1" applyAlignment="1">
      <alignment horizontal="center" vertical="top" wrapText="1"/>
    </xf>
    <xf numFmtId="1" fontId="3" fillId="2" borderId="5" xfId="1" applyNumberFormat="1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9" xfId="0" applyFont="1" applyFill="1" applyBorder="1" applyAlignment="1">
      <alignment horizontal="center" vertical="top" wrapText="1"/>
    </xf>
    <xf numFmtId="9" fontId="3" fillId="3" borderId="18" xfId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LFPPT\CSC\CSC%20Performance\New%20Final%20MPR\June'25_CSC%20wise%20MPR%20analysis%20sheet%20Updated_4th%20Aug'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ing%20Desktop%20&amp;%20Documents\Downloads\Apr-Dec'25_Analysis_CSC%20wise%20MPR%20analysis%20sheet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C Wise Data"/>
      <sheetName val="analysis"/>
    </sheetNames>
    <sheetDataSet>
      <sheetData sheetId="0" refreshError="1">
        <row r="1">
          <cell r="A1" t="str">
            <v>SR</v>
          </cell>
          <cell r="B1" t="str">
            <v>State</v>
          </cell>
          <cell r="C1" t="str">
            <v>CSC Name</v>
          </cell>
          <cell r="E1" t="str">
            <v>District</v>
          </cell>
          <cell r="G1" t="str">
            <v xml:space="preserve">Month 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-25"/>
      <sheetName val="May-25"/>
      <sheetName val="June'25"/>
      <sheetName val="Apr-June'25"/>
      <sheetName val="Jul'25"/>
      <sheetName val="Aug'25"/>
      <sheetName val="Sep'25"/>
      <sheetName val="Jul-Sep'25"/>
      <sheetName val="Apr-Sep'25"/>
      <sheetName val="Oct'25"/>
      <sheetName val="Nov'25"/>
      <sheetName val="Dec'25"/>
      <sheetName val="Oct-Dec'25"/>
      <sheetName val="Apr-Dec'25"/>
      <sheetName val="Apr-June-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H7">
            <v>224</v>
          </cell>
          <cell r="I7">
            <v>159</v>
          </cell>
          <cell r="K7">
            <v>529</v>
          </cell>
          <cell r="L7">
            <v>529</v>
          </cell>
          <cell r="N7">
            <v>221</v>
          </cell>
          <cell r="O7">
            <v>221</v>
          </cell>
          <cell r="Q7">
            <v>85</v>
          </cell>
          <cell r="R7">
            <v>76</v>
          </cell>
          <cell r="T7">
            <v>718</v>
          </cell>
          <cell r="U7">
            <v>138</v>
          </cell>
          <cell r="W7">
            <v>871</v>
          </cell>
          <cell r="Y7">
            <v>371</v>
          </cell>
          <cell r="AA7">
            <v>28</v>
          </cell>
          <cell r="AB7">
            <v>25</v>
          </cell>
          <cell r="AD7">
            <v>0</v>
          </cell>
          <cell r="AE7">
            <v>0</v>
          </cell>
          <cell r="AJ7">
            <v>446</v>
          </cell>
          <cell r="AK7">
            <v>143</v>
          </cell>
          <cell r="AM7">
            <v>0</v>
          </cell>
          <cell r="AN7">
            <v>0</v>
          </cell>
          <cell r="AP7">
            <v>48</v>
          </cell>
          <cell r="AQ7">
            <v>14</v>
          </cell>
          <cell r="AS7">
            <v>15</v>
          </cell>
          <cell r="AT7">
            <v>15</v>
          </cell>
          <cell r="AV7">
            <v>3</v>
          </cell>
          <cell r="AW7">
            <v>3</v>
          </cell>
          <cell r="AY7">
            <v>0</v>
          </cell>
          <cell r="AZ7">
            <v>0</v>
          </cell>
          <cell r="BB7">
            <v>2</v>
          </cell>
          <cell r="BC7">
            <v>2</v>
          </cell>
          <cell r="BE7">
            <v>0</v>
          </cell>
          <cell r="BF7">
            <v>0</v>
          </cell>
          <cell r="BH7">
            <v>3</v>
          </cell>
          <cell r="BI7">
            <v>3</v>
          </cell>
          <cell r="BK7">
            <v>7</v>
          </cell>
          <cell r="BL7">
            <v>7</v>
          </cell>
          <cell r="BN7">
            <v>0</v>
          </cell>
          <cell r="BO7">
            <v>0</v>
          </cell>
          <cell r="BQ7">
            <v>3</v>
          </cell>
          <cell r="BR7">
            <v>3</v>
          </cell>
          <cell r="BT7">
            <v>2</v>
          </cell>
          <cell r="BU7">
            <v>2</v>
          </cell>
          <cell r="BW7">
            <v>0</v>
          </cell>
          <cell r="BX7">
            <v>0</v>
          </cell>
          <cell r="BZ7">
            <v>159</v>
          </cell>
          <cell r="CA7">
            <v>159</v>
          </cell>
          <cell r="CC7">
            <v>10</v>
          </cell>
          <cell r="CD7">
            <v>10</v>
          </cell>
          <cell r="CF7">
            <v>5</v>
          </cell>
          <cell r="CG7">
            <v>1</v>
          </cell>
        </row>
        <row r="8">
          <cell r="H8">
            <v>457</v>
          </cell>
          <cell r="I8">
            <v>417</v>
          </cell>
          <cell r="K8">
            <v>3</v>
          </cell>
          <cell r="L8">
            <v>3</v>
          </cell>
          <cell r="N8">
            <v>400</v>
          </cell>
          <cell r="O8">
            <v>397</v>
          </cell>
          <cell r="Q8">
            <v>347</v>
          </cell>
          <cell r="R8">
            <v>275</v>
          </cell>
          <cell r="T8">
            <v>1319</v>
          </cell>
          <cell r="U8">
            <v>525</v>
          </cell>
          <cell r="W8">
            <v>1168</v>
          </cell>
          <cell r="Y8">
            <v>221</v>
          </cell>
          <cell r="AA8">
            <v>19</v>
          </cell>
          <cell r="AB8">
            <v>19</v>
          </cell>
          <cell r="AD8">
            <v>23</v>
          </cell>
          <cell r="AE8">
            <v>23</v>
          </cell>
          <cell r="AJ8">
            <v>250</v>
          </cell>
          <cell r="AK8">
            <v>173</v>
          </cell>
          <cell r="AM8">
            <v>0</v>
          </cell>
          <cell r="AN8">
            <v>0</v>
          </cell>
          <cell r="AP8">
            <v>29</v>
          </cell>
          <cell r="AQ8">
            <v>16</v>
          </cell>
          <cell r="AS8">
            <v>0</v>
          </cell>
          <cell r="AT8">
            <v>0</v>
          </cell>
          <cell r="AV8">
            <v>0</v>
          </cell>
          <cell r="AW8">
            <v>0</v>
          </cell>
          <cell r="AY8">
            <v>0</v>
          </cell>
          <cell r="AZ8">
            <v>0</v>
          </cell>
          <cell r="BB8">
            <v>0</v>
          </cell>
          <cell r="BC8">
            <v>0</v>
          </cell>
          <cell r="BE8">
            <v>0</v>
          </cell>
          <cell r="BF8">
            <v>0</v>
          </cell>
          <cell r="BH8">
            <v>0</v>
          </cell>
          <cell r="BI8">
            <v>0</v>
          </cell>
          <cell r="BK8">
            <v>4</v>
          </cell>
          <cell r="BL8">
            <v>4</v>
          </cell>
          <cell r="BN8">
            <v>0</v>
          </cell>
          <cell r="BO8">
            <v>0</v>
          </cell>
          <cell r="BQ8">
            <v>0</v>
          </cell>
          <cell r="BR8">
            <v>0</v>
          </cell>
          <cell r="BT8">
            <v>0</v>
          </cell>
          <cell r="BU8">
            <v>0</v>
          </cell>
          <cell r="BW8">
            <v>0</v>
          </cell>
          <cell r="BX8">
            <v>0</v>
          </cell>
          <cell r="BZ8">
            <v>417</v>
          </cell>
          <cell r="CA8">
            <v>318</v>
          </cell>
          <cell r="CC8">
            <v>9</v>
          </cell>
          <cell r="CD8">
            <v>9</v>
          </cell>
          <cell r="CF8">
            <v>0</v>
          </cell>
          <cell r="CG8">
            <v>0</v>
          </cell>
        </row>
        <row r="9">
          <cell r="H9">
            <v>296</v>
          </cell>
          <cell r="I9">
            <v>342</v>
          </cell>
          <cell r="K9">
            <v>66</v>
          </cell>
          <cell r="L9">
            <v>32</v>
          </cell>
          <cell r="N9">
            <v>304</v>
          </cell>
          <cell r="O9">
            <v>297</v>
          </cell>
          <cell r="Q9">
            <v>317</v>
          </cell>
          <cell r="R9">
            <v>267</v>
          </cell>
          <cell r="T9">
            <v>2121</v>
          </cell>
          <cell r="U9">
            <v>1843</v>
          </cell>
          <cell r="W9">
            <v>1200</v>
          </cell>
          <cell r="Y9">
            <v>617</v>
          </cell>
          <cell r="AA9">
            <v>292</v>
          </cell>
          <cell r="AB9">
            <v>292</v>
          </cell>
          <cell r="AD9">
            <v>71</v>
          </cell>
          <cell r="AE9">
            <v>49</v>
          </cell>
          <cell r="AJ9">
            <v>349</v>
          </cell>
          <cell r="AK9">
            <v>279</v>
          </cell>
          <cell r="AM9">
            <v>1</v>
          </cell>
          <cell r="AN9">
            <v>1</v>
          </cell>
          <cell r="AP9">
            <v>88</v>
          </cell>
          <cell r="AQ9">
            <v>86</v>
          </cell>
          <cell r="AS9">
            <v>123</v>
          </cell>
          <cell r="AT9">
            <v>120</v>
          </cell>
          <cell r="AV9">
            <v>4</v>
          </cell>
          <cell r="AW9">
            <v>4</v>
          </cell>
          <cell r="AY9">
            <v>64</v>
          </cell>
          <cell r="AZ9">
            <v>63</v>
          </cell>
          <cell r="BB9">
            <v>64</v>
          </cell>
          <cell r="BC9">
            <v>63</v>
          </cell>
          <cell r="BE9">
            <v>17</v>
          </cell>
          <cell r="BF9">
            <v>17</v>
          </cell>
          <cell r="BH9">
            <v>17</v>
          </cell>
          <cell r="BI9">
            <v>17</v>
          </cell>
          <cell r="BK9">
            <v>23</v>
          </cell>
          <cell r="BL9">
            <v>22</v>
          </cell>
          <cell r="BN9">
            <v>23</v>
          </cell>
          <cell r="BO9">
            <v>22</v>
          </cell>
          <cell r="BQ9">
            <v>10</v>
          </cell>
          <cell r="BR9">
            <v>9</v>
          </cell>
          <cell r="BT9">
            <v>28</v>
          </cell>
          <cell r="BU9">
            <v>20</v>
          </cell>
          <cell r="BW9">
            <v>2</v>
          </cell>
          <cell r="BX9">
            <v>2</v>
          </cell>
          <cell r="BZ9">
            <v>342</v>
          </cell>
          <cell r="CA9">
            <v>357</v>
          </cell>
          <cell r="CC9">
            <v>49</v>
          </cell>
          <cell r="CD9">
            <v>49</v>
          </cell>
          <cell r="CF9">
            <v>49</v>
          </cell>
          <cell r="CG9">
            <v>49</v>
          </cell>
        </row>
        <row r="10">
          <cell r="H10">
            <v>782</v>
          </cell>
          <cell r="I10">
            <v>836</v>
          </cell>
          <cell r="K10">
            <v>0</v>
          </cell>
          <cell r="L10">
            <v>0</v>
          </cell>
          <cell r="N10">
            <v>422</v>
          </cell>
          <cell r="O10">
            <v>224</v>
          </cell>
          <cell r="Q10">
            <v>68</v>
          </cell>
          <cell r="R10">
            <v>54</v>
          </cell>
          <cell r="T10">
            <v>2028</v>
          </cell>
          <cell r="U10">
            <v>644</v>
          </cell>
          <cell r="W10">
            <v>4191</v>
          </cell>
          <cell r="Y10">
            <v>293</v>
          </cell>
          <cell r="AA10">
            <v>795</v>
          </cell>
          <cell r="AB10">
            <v>108</v>
          </cell>
          <cell r="AD10">
            <v>0</v>
          </cell>
          <cell r="AE10">
            <v>0</v>
          </cell>
          <cell r="AJ10">
            <v>1100</v>
          </cell>
          <cell r="AK10">
            <v>430</v>
          </cell>
          <cell r="AM10">
            <v>0</v>
          </cell>
          <cell r="AN10">
            <v>0</v>
          </cell>
          <cell r="AP10">
            <v>98</v>
          </cell>
          <cell r="AQ10">
            <v>13</v>
          </cell>
          <cell r="AS10">
            <v>2309</v>
          </cell>
          <cell r="AT10">
            <v>2274</v>
          </cell>
          <cell r="AV10">
            <v>0</v>
          </cell>
          <cell r="AW10">
            <v>0</v>
          </cell>
          <cell r="AY10">
            <v>0</v>
          </cell>
          <cell r="AZ10">
            <v>0</v>
          </cell>
          <cell r="BB10">
            <v>1828</v>
          </cell>
          <cell r="BC10">
            <v>143</v>
          </cell>
          <cell r="BE10">
            <v>0</v>
          </cell>
          <cell r="BF10">
            <v>0</v>
          </cell>
          <cell r="BH10">
            <v>23</v>
          </cell>
          <cell r="BI10">
            <v>23</v>
          </cell>
          <cell r="BK10">
            <v>7</v>
          </cell>
          <cell r="BL10">
            <v>6</v>
          </cell>
          <cell r="BN10">
            <v>10</v>
          </cell>
          <cell r="BO10">
            <v>10</v>
          </cell>
          <cell r="BQ10">
            <v>4</v>
          </cell>
          <cell r="BR10">
            <v>4</v>
          </cell>
          <cell r="BT10">
            <v>1</v>
          </cell>
          <cell r="BU10">
            <v>1</v>
          </cell>
          <cell r="BW10">
            <v>0</v>
          </cell>
          <cell r="BX10">
            <v>0</v>
          </cell>
          <cell r="BZ10">
            <v>836</v>
          </cell>
          <cell r="CA10">
            <v>617</v>
          </cell>
          <cell r="CC10">
            <v>10</v>
          </cell>
          <cell r="CD10">
            <v>22</v>
          </cell>
          <cell r="CF10">
            <v>0</v>
          </cell>
          <cell r="CG10">
            <v>0</v>
          </cell>
        </row>
        <row r="11">
          <cell r="H11">
            <v>322</v>
          </cell>
          <cell r="I11">
            <v>383</v>
          </cell>
          <cell r="K11">
            <v>335</v>
          </cell>
          <cell r="L11">
            <v>334</v>
          </cell>
          <cell r="N11">
            <v>288</v>
          </cell>
          <cell r="O11">
            <v>286</v>
          </cell>
          <cell r="Q11">
            <v>242</v>
          </cell>
          <cell r="R11">
            <v>228</v>
          </cell>
          <cell r="T11">
            <v>1429</v>
          </cell>
          <cell r="U11">
            <v>1205</v>
          </cell>
          <cell r="W11">
            <v>1151</v>
          </cell>
          <cell r="Y11">
            <v>656</v>
          </cell>
          <cell r="AA11">
            <v>41</v>
          </cell>
          <cell r="AB11">
            <v>41</v>
          </cell>
          <cell r="AD11">
            <v>3</v>
          </cell>
          <cell r="AE11">
            <v>3</v>
          </cell>
          <cell r="AJ11">
            <v>1198</v>
          </cell>
          <cell r="AK11">
            <v>1026</v>
          </cell>
          <cell r="AM11">
            <v>0</v>
          </cell>
          <cell r="AN11">
            <v>0</v>
          </cell>
          <cell r="AP11">
            <v>127</v>
          </cell>
          <cell r="AQ11">
            <v>107</v>
          </cell>
          <cell r="AS11">
            <v>68</v>
          </cell>
          <cell r="AT11">
            <v>68</v>
          </cell>
          <cell r="AV11">
            <v>0</v>
          </cell>
          <cell r="AW11">
            <v>0</v>
          </cell>
          <cell r="AY11">
            <v>149</v>
          </cell>
          <cell r="AZ11">
            <v>149</v>
          </cell>
          <cell r="BB11">
            <v>89</v>
          </cell>
          <cell r="BC11">
            <v>89</v>
          </cell>
          <cell r="BE11">
            <v>17</v>
          </cell>
          <cell r="BF11">
            <v>17</v>
          </cell>
          <cell r="BH11">
            <v>16</v>
          </cell>
          <cell r="BI11">
            <v>16</v>
          </cell>
          <cell r="BK11">
            <v>27</v>
          </cell>
          <cell r="BL11">
            <v>27</v>
          </cell>
          <cell r="BN11">
            <v>16</v>
          </cell>
          <cell r="BO11">
            <v>16</v>
          </cell>
          <cell r="BQ11">
            <v>18</v>
          </cell>
          <cell r="BR11">
            <v>17</v>
          </cell>
          <cell r="BT11">
            <v>35</v>
          </cell>
          <cell r="BU11">
            <v>32</v>
          </cell>
          <cell r="BW11">
            <v>0</v>
          </cell>
          <cell r="BX11">
            <v>0</v>
          </cell>
          <cell r="BZ11">
            <v>383</v>
          </cell>
          <cell r="CA11">
            <v>1159</v>
          </cell>
          <cell r="CC11">
            <v>56</v>
          </cell>
          <cell r="CD11">
            <v>55</v>
          </cell>
          <cell r="CF11">
            <v>0</v>
          </cell>
          <cell r="CG11">
            <v>0</v>
          </cell>
        </row>
        <row r="12">
          <cell r="H12">
            <v>188</v>
          </cell>
          <cell r="I12">
            <v>198</v>
          </cell>
          <cell r="K12">
            <v>136</v>
          </cell>
          <cell r="L12">
            <v>134</v>
          </cell>
          <cell r="N12">
            <v>184</v>
          </cell>
          <cell r="O12">
            <v>184</v>
          </cell>
          <cell r="Q12">
            <v>161</v>
          </cell>
          <cell r="R12">
            <v>148</v>
          </cell>
          <cell r="T12">
            <v>804</v>
          </cell>
          <cell r="U12">
            <v>716</v>
          </cell>
          <cell r="W12">
            <v>258</v>
          </cell>
          <cell r="Y12">
            <v>133</v>
          </cell>
          <cell r="AA12">
            <v>0</v>
          </cell>
          <cell r="AB12">
            <v>0</v>
          </cell>
          <cell r="AD12">
            <v>0</v>
          </cell>
          <cell r="AE12">
            <v>0</v>
          </cell>
          <cell r="AJ12">
            <v>429</v>
          </cell>
          <cell r="AK12">
            <v>428</v>
          </cell>
          <cell r="AM12">
            <v>0</v>
          </cell>
          <cell r="AN12">
            <v>0</v>
          </cell>
          <cell r="AP12">
            <v>61</v>
          </cell>
          <cell r="AQ12">
            <v>27</v>
          </cell>
          <cell r="AS12">
            <v>38</v>
          </cell>
          <cell r="AT12">
            <v>27</v>
          </cell>
          <cell r="AV12">
            <v>0</v>
          </cell>
          <cell r="AW12">
            <v>0</v>
          </cell>
          <cell r="AY12">
            <v>70</v>
          </cell>
          <cell r="AZ12">
            <v>69</v>
          </cell>
          <cell r="BB12">
            <v>57</v>
          </cell>
          <cell r="BC12">
            <v>48</v>
          </cell>
          <cell r="BE12">
            <v>7</v>
          </cell>
          <cell r="BF12">
            <v>7</v>
          </cell>
          <cell r="BH12">
            <v>8</v>
          </cell>
          <cell r="BI12">
            <v>8</v>
          </cell>
          <cell r="BK12">
            <v>15</v>
          </cell>
          <cell r="BL12">
            <v>14</v>
          </cell>
          <cell r="BN12">
            <v>8</v>
          </cell>
          <cell r="BO12">
            <v>7</v>
          </cell>
          <cell r="BQ12">
            <v>4</v>
          </cell>
          <cell r="BR12">
            <v>3</v>
          </cell>
          <cell r="BT12">
            <v>11</v>
          </cell>
          <cell r="BU12">
            <v>11</v>
          </cell>
          <cell r="BW12">
            <v>0</v>
          </cell>
          <cell r="BX12">
            <v>0</v>
          </cell>
          <cell r="BZ12">
            <v>198</v>
          </cell>
          <cell r="CA12">
            <v>185</v>
          </cell>
          <cell r="CC12">
            <v>37</v>
          </cell>
          <cell r="CD12">
            <v>37</v>
          </cell>
          <cell r="CF12">
            <v>7</v>
          </cell>
          <cell r="CG12">
            <v>7</v>
          </cell>
        </row>
        <row r="13">
          <cell r="H13">
            <v>264</v>
          </cell>
          <cell r="I13">
            <v>246</v>
          </cell>
          <cell r="K13">
            <v>195</v>
          </cell>
          <cell r="L13">
            <v>174</v>
          </cell>
          <cell r="N13">
            <v>240</v>
          </cell>
          <cell r="O13">
            <v>238</v>
          </cell>
          <cell r="Q13">
            <v>216</v>
          </cell>
          <cell r="R13">
            <v>189</v>
          </cell>
          <cell r="T13">
            <v>709</v>
          </cell>
          <cell r="U13">
            <v>542</v>
          </cell>
          <cell r="W13">
            <v>369</v>
          </cell>
          <cell r="Y13">
            <v>182</v>
          </cell>
          <cell r="AA13">
            <v>4</v>
          </cell>
          <cell r="AB13">
            <v>4</v>
          </cell>
          <cell r="AD13">
            <v>9</v>
          </cell>
          <cell r="AE13">
            <v>5</v>
          </cell>
          <cell r="AJ13">
            <v>1171</v>
          </cell>
          <cell r="AK13">
            <v>1163</v>
          </cell>
          <cell r="AM13">
            <v>0</v>
          </cell>
          <cell r="AN13">
            <v>0</v>
          </cell>
          <cell r="AP13">
            <v>24</v>
          </cell>
          <cell r="AQ13">
            <v>19</v>
          </cell>
          <cell r="AS13">
            <v>59</v>
          </cell>
          <cell r="AT13">
            <v>59</v>
          </cell>
          <cell r="AV13">
            <v>0</v>
          </cell>
          <cell r="AW13">
            <v>0</v>
          </cell>
          <cell r="AY13">
            <v>154</v>
          </cell>
          <cell r="AZ13">
            <v>154</v>
          </cell>
          <cell r="BB13">
            <v>138</v>
          </cell>
          <cell r="BC13">
            <v>138</v>
          </cell>
          <cell r="BE13">
            <v>13</v>
          </cell>
          <cell r="BF13">
            <v>13</v>
          </cell>
          <cell r="BH13">
            <v>21</v>
          </cell>
          <cell r="BI13">
            <v>21</v>
          </cell>
          <cell r="BK13">
            <v>39</v>
          </cell>
          <cell r="BL13">
            <v>39</v>
          </cell>
          <cell r="BN13">
            <v>31</v>
          </cell>
          <cell r="BO13">
            <v>30</v>
          </cell>
          <cell r="BQ13">
            <v>24</v>
          </cell>
          <cell r="BR13">
            <v>23</v>
          </cell>
          <cell r="BT13">
            <v>48</v>
          </cell>
          <cell r="BU13">
            <v>44</v>
          </cell>
          <cell r="BW13">
            <v>0</v>
          </cell>
          <cell r="BX13">
            <v>0</v>
          </cell>
          <cell r="BZ13">
            <v>246</v>
          </cell>
          <cell r="CA13">
            <v>246</v>
          </cell>
          <cell r="CC13">
            <v>30</v>
          </cell>
          <cell r="CD13">
            <v>21</v>
          </cell>
          <cell r="CF13">
            <v>0</v>
          </cell>
          <cell r="CG13">
            <v>0</v>
          </cell>
        </row>
        <row r="14">
          <cell r="H14">
            <v>471</v>
          </cell>
          <cell r="I14">
            <v>383</v>
          </cell>
          <cell r="K14">
            <v>296</v>
          </cell>
          <cell r="L14">
            <v>290</v>
          </cell>
          <cell r="N14">
            <v>357</v>
          </cell>
          <cell r="O14">
            <v>357</v>
          </cell>
          <cell r="Q14">
            <v>298</v>
          </cell>
          <cell r="R14">
            <v>276</v>
          </cell>
          <cell r="T14">
            <v>534</v>
          </cell>
          <cell r="U14">
            <v>530</v>
          </cell>
          <cell r="W14">
            <v>474</v>
          </cell>
          <cell r="Y14">
            <v>425</v>
          </cell>
          <cell r="AA14">
            <v>72</v>
          </cell>
          <cell r="AB14">
            <v>72</v>
          </cell>
          <cell r="AD14">
            <v>2</v>
          </cell>
          <cell r="AE14">
            <v>2</v>
          </cell>
          <cell r="AJ14">
            <v>2466</v>
          </cell>
          <cell r="AK14">
            <v>2466</v>
          </cell>
          <cell r="AM14">
            <v>0</v>
          </cell>
          <cell r="AN14">
            <v>0</v>
          </cell>
          <cell r="AP14">
            <v>47</v>
          </cell>
          <cell r="AQ14">
            <v>43</v>
          </cell>
          <cell r="AS14">
            <v>98</v>
          </cell>
          <cell r="AT14">
            <v>98</v>
          </cell>
          <cell r="AV14">
            <v>0</v>
          </cell>
          <cell r="AW14">
            <v>0</v>
          </cell>
          <cell r="AY14">
            <v>305</v>
          </cell>
          <cell r="AZ14">
            <v>305</v>
          </cell>
          <cell r="BB14">
            <v>133</v>
          </cell>
          <cell r="BC14">
            <v>133</v>
          </cell>
          <cell r="BE14">
            <v>15</v>
          </cell>
          <cell r="BF14">
            <v>15</v>
          </cell>
          <cell r="BH14">
            <v>28</v>
          </cell>
          <cell r="BI14">
            <v>28</v>
          </cell>
          <cell r="BK14">
            <v>20</v>
          </cell>
          <cell r="BL14">
            <v>20</v>
          </cell>
          <cell r="BN14">
            <v>22</v>
          </cell>
          <cell r="BO14">
            <v>22</v>
          </cell>
          <cell r="BQ14">
            <v>20</v>
          </cell>
          <cell r="BR14">
            <v>18</v>
          </cell>
          <cell r="BT14">
            <v>37</v>
          </cell>
          <cell r="BU14">
            <v>37</v>
          </cell>
          <cell r="BW14">
            <v>0</v>
          </cell>
          <cell r="BX14">
            <v>0</v>
          </cell>
          <cell r="BZ14">
            <v>383</v>
          </cell>
          <cell r="CA14">
            <v>384</v>
          </cell>
          <cell r="CC14">
            <v>40</v>
          </cell>
          <cell r="CD14">
            <v>40</v>
          </cell>
          <cell r="CF14">
            <v>0</v>
          </cell>
          <cell r="CG14">
            <v>0</v>
          </cell>
        </row>
        <row r="15">
          <cell r="H15">
            <v>465</v>
          </cell>
          <cell r="I15">
            <v>398</v>
          </cell>
          <cell r="K15">
            <v>294</v>
          </cell>
          <cell r="L15">
            <v>294</v>
          </cell>
          <cell r="N15">
            <v>409</v>
          </cell>
          <cell r="O15">
            <v>409</v>
          </cell>
          <cell r="Q15">
            <v>295</v>
          </cell>
          <cell r="R15">
            <v>287</v>
          </cell>
          <cell r="T15">
            <v>1265</v>
          </cell>
          <cell r="U15">
            <v>1044</v>
          </cell>
          <cell r="W15">
            <v>511</v>
          </cell>
          <cell r="Y15">
            <v>231</v>
          </cell>
          <cell r="AA15">
            <v>0</v>
          </cell>
          <cell r="AB15">
            <v>0</v>
          </cell>
          <cell r="AD15">
            <v>0</v>
          </cell>
          <cell r="AE15">
            <v>0</v>
          </cell>
          <cell r="AJ15">
            <v>378</v>
          </cell>
          <cell r="AK15">
            <v>378</v>
          </cell>
          <cell r="AM15">
            <v>0</v>
          </cell>
          <cell r="AN15">
            <v>0</v>
          </cell>
          <cell r="AP15">
            <v>40</v>
          </cell>
          <cell r="AQ15">
            <v>40</v>
          </cell>
          <cell r="AS15">
            <v>147</v>
          </cell>
          <cell r="AT15">
            <v>66</v>
          </cell>
          <cell r="AV15">
            <v>135</v>
          </cell>
          <cell r="AW15">
            <v>0</v>
          </cell>
          <cell r="AY15">
            <v>27</v>
          </cell>
          <cell r="AZ15">
            <v>27</v>
          </cell>
          <cell r="BB15">
            <v>35</v>
          </cell>
          <cell r="BC15">
            <v>35</v>
          </cell>
          <cell r="BE15">
            <v>15</v>
          </cell>
          <cell r="BF15">
            <v>15</v>
          </cell>
          <cell r="BH15">
            <v>6</v>
          </cell>
          <cell r="BI15">
            <v>6</v>
          </cell>
          <cell r="BK15">
            <v>14</v>
          </cell>
          <cell r="BL15">
            <v>14</v>
          </cell>
          <cell r="BN15">
            <v>15</v>
          </cell>
          <cell r="BO15">
            <v>15</v>
          </cell>
          <cell r="BQ15">
            <v>7</v>
          </cell>
          <cell r="BR15">
            <v>7</v>
          </cell>
          <cell r="BT15">
            <v>9</v>
          </cell>
          <cell r="BU15">
            <v>9</v>
          </cell>
          <cell r="BW15">
            <v>1</v>
          </cell>
          <cell r="BX15">
            <v>1</v>
          </cell>
          <cell r="BZ15">
            <v>398</v>
          </cell>
          <cell r="CA15">
            <v>1093</v>
          </cell>
          <cell r="CC15">
            <v>23</v>
          </cell>
          <cell r="CD15">
            <v>44</v>
          </cell>
          <cell r="CF15">
            <v>0</v>
          </cell>
          <cell r="CG15">
            <v>0</v>
          </cell>
        </row>
        <row r="16">
          <cell r="H16">
            <v>689</v>
          </cell>
          <cell r="I16">
            <v>766</v>
          </cell>
          <cell r="K16">
            <v>843</v>
          </cell>
          <cell r="L16">
            <v>843</v>
          </cell>
          <cell r="N16">
            <v>625</v>
          </cell>
          <cell r="O16">
            <v>625</v>
          </cell>
          <cell r="Q16">
            <v>511</v>
          </cell>
          <cell r="R16">
            <v>491</v>
          </cell>
          <cell r="T16">
            <v>1877</v>
          </cell>
          <cell r="U16">
            <v>1844</v>
          </cell>
          <cell r="W16">
            <v>340</v>
          </cell>
          <cell r="Y16">
            <v>312</v>
          </cell>
          <cell r="AA16">
            <v>0</v>
          </cell>
          <cell r="AB16">
            <v>0</v>
          </cell>
          <cell r="AD16">
            <v>0</v>
          </cell>
          <cell r="AE16">
            <v>0</v>
          </cell>
          <cell r="AJ16">
            <v>2988</v>
          </cell>
          <cell r="AK16">
            <v>2988</v>
          </cell>
          <cell r="AM16">
            <v>0</v>
          </cell>
          <cell r="AN16">
            <v>0</v>
          </cell>
          <cell r="AP16">
            <v>85</v>
          </cell>
          <cell r="AQ16">
            <v>85</v>
          </cell>
          <cell r="AS16">
            <v>428</v>
          </cell>
          <cell r="AT16">
            <v>428</v>
          </cell>
          <cell r="AV16">
            <v>0</v>
          </cell>
          <cell r="AW16">
            <v>0</v>
          </cell>
          <cell r="AY16">
            <v>737</v>
          </cell>
          <cell r="AZ16">
            <v>737</v>
          </cell>
          <cell r="BB16">
            <v>178</v>
          </cell>
          <cell r="BC16">
            <v>178</v>
          </cell>
          <cell r="BE16">
            <v>26</v>
          </cell>
          <cell r="BF16">
            <v>26</v>
          </cell>
          <cell r="BH16">
            <v>25</v>
          </cell>
          <cell r="BI16">
            <v>25</v>
          </cell>
          <cell r="BK16">
            <v>35</v>
          </cell>
          <cell r="BL16">
            <v>35</v>
          </cell>
          <cell r="BN16">
            <v>15</v>
          </cell>
          <cell r="BO16">
            <v>15</v>
          </cell>
          <cell r="BQ16">
            <v>13</v>
          </cell>
          <cell r="BR16">
            <v>13</v>
          </cell>
          <cell r="BT16">
            <v>51</v>
          </cell>
          <cell r="BU16">
            <v>44</v>
          </cell>
          <cell r="BW16">
            <v>0</v>
          </cell>
          <cell r="BX16">
            <v>0</v>
          </cell>
          <cell r="BZ16">
            <v>766</v>
          </cell>
          <cell r="CA16">
            <v>759</v>
          </cell>
          <cell r="CC16">
            <v>63</v>
          </cell>
          <cell r="CD16">
            <v>63</v>
          </cell>
          <cell r="CF16">
            <v>5</v>
          </cell>
          <cell r="CG16">
            <v>5</v>
          </cell>
        </row>
        <row r="17">
          <cell r="H17">
            <v>300</v>
          </cell>
          <cell r="I17">
            <v>299</v>
          </cell>
          <cell r="K17">
            <v>263</v>
          </cell>
          <cell r="L17">
            <v>252</v>
          </cell>
          <cell r="N17">
            <v>266</v>
          </cell>
          <cell r="O17">
            <v>265</v>
          </cell>
          <cell r="Q17">
            <v>267</v>
          </cell>
          <cell r="R17">
            <v>250</v>
          </cell>
          <cell r="T17">
            <v>1902</v>
          </cell>
          <cell r="U17">
            <v>1763</v>
          </cell>
          <cell r="W17">
            <v>270</v>
          </cell>
          <cell r="Y17">
            <v>157</v>
          </cell>
          <cell r="AA17">
            <v>110</v>
          </cell>
          <cell r="AB17">
            <v>110</v>
          </cell>
          <cell r="AD17">
            <v>114</v>
          </cell>
          <cell r="AE17">
            <v>44</v>
          </cell>
          <cell r="AJ17">
            <v>538</v>
          </cell>
          <cell r="AK17">
            <v>217</v>
          </cell>
          <cell r="AM17">
            <v>0</v>
          </cell>
          <cell r="AN17">
            <v>0</v>
          </cell>
          <cell r="AP17">
            <v>171</v>
          </cell>
          <cell r="AQ17">
            <v>61</v>
          </cell>
          <cell r="AS17">
            <v>59</v>
          </cell>
          <cell r="AT17">
            <v>59</v>
          </cell>
          <cell r="AV17">
            <v>0</v>
          </cell>
          <cell r="AW17">
            <v>0</v>
          </cell>
          <cell r="AY17">
            <v>62</v>
          </cell>
          <cell r="AZ17">
            <v>62</v>
          </cell>
          <cell r="BB17">
            <v>122</v>
          </cell>
          <cell r="BC17">
            <v>122</v>
          </cell>
          <cell r="BE17">
            <v>6</v>
          </cell>
          <cell r="BF17">
            <v>6</v>
          </cell>
          <cell r="BH17">
            <v>23</v>
          </cell>
          <cell r="BI17">
            <v>22</v>
          </cell>
          <cell r="BK17">
            <v>31</v>
          </cell>
          <cell r="BL17">
            <v>31</v>
          </cell>
          <cell r="BN17">
            <v>24</v>
          </cell>
          <cell r="BO17">
            <v>24</v>
          </cell>
          <cell r="BQ17">
            <v>13</v>
          </cell>
          <cell r="BR17">
            <v>13</v>
          </cell>
          <cell r="BT17">
            <v>23</v>
          </cell>
          <cell r="BU17">
            <v>23</v>
          </cell>
          <cell r="BW17">
            <v>0</v>
          </cell>
          <cell r="BX17">
            <v>0</v>
          </cell>
          <cell r="BZ17">
            <v>299</v>
          </cell>
          <cell r="CA17">
            <v>299</v>
          </cell>
          <cell r="CC17">
            <v>35</v>
          </cell>
          <cell r="CD17">
            <v>23</v>
          </cell>
          <cell r="CF17">
            <v>0</v>
          </cell>
          <cell r="CG17">
            <v>0</v>
          </cell>
        </row>
        <row r="18">
          <cell r="H18">
            <v>860</v>
          </cell>
          <cell r="I18">
            <v>559</v>
          </cell>
          <cell r="K18">
            <v>439</v>
          </cell>
          <cell r="L18">
            <v>224</v>
          </cell>
          <cell r="N18">
            <v>830</v>
          </cell>
          <cell r="O18">
            <v>776</v>
          </cell>
          <cell r="Q18">
            <v>662</v>
          </cell>
          <cell r="R18">
            <v>648</v>
          </cell>
          <cell r="T18">
            <v>3002</v>
          </cell>
          <cell r="U18">
            <v>2198</v>
          </cell>
          <cell r="W18">
            <v>1057</v>
          </cell>
          <cell r="Y18">
            <v>413</v>
          </cell>
          <cell r="AA18">
            <v>38</v>
          </cell>
          <cell r="AB18">
            <v>39</v>
          </cell>
          <cell r="AD18">
            <v>0</v>
          </cell>
          <cell r="AE18">
            <v>0</v>
          </cell>
          <cell r="AJ18">
            <v>795</v>
          </cell>
          <cell r="AK18">
            <v>610</v>
          </cell>
          <cell r="AM18">
            <v>40</v>
          </cell>
          <cell r="AN18">
            <v>7</v>
          </cell>
          <cell r="AP18">
            <v>390</v>
          </cell>
          <cell r="AQ18">
            <v>66</v>
          </cell>
          <cell r="AS18">
            <v>89</v>
          </cell>
          <cell r="AT18">
            <v>89</v>
          </cell>
          <cell r="AV18">
            <v>0</v>
          </cell>
          <cell r="AW18">
            <v>0</v>
          </cell>
          <cell r="AY18">
            <v>10</v>
          </cell>
          <cell r="AZ18">
            <v>10</v>
          </cell>
          <cell r="BB18">
            <v>213</v>
          </cell>
          <cell r="BC18">
            <v>113</v>
          </cell>
          <cell r="BE18">
            <v>2</v>
          </cell>
          <cell r="BF18">
            <v>7</v>
          </cell>
          <cell r="BH18">
            <v>37</v>
          </cell>
          <cell r="BI18">
            <v>34</v>
          </cell>
          <cell r="BK18">
            <v>75</v>
          </cell>
          <cell r="BL18">
            <v>72</v>
          </cell>
          <cell r="BN18">
            <v>35</v>
          </cell>
          <cell r="BO18">
            <v>30</v>
          </cell>
          <cell r="BQ18">
            <v>17</v>
          </cell>
          <cell r="BR18">
            <v>16</v>
          </cell>
          <cell r="BT18">
            <v>25</v>
          </cell>
          <cell r="BU18">
            <v>25</v>
          </cell>
          <cell r="BW18">
            <v>0</v>
          </cell>
          <cell r="BX18">
            <v>0</v>
          </cell>
          <cell r="BZ18">
            <v>559</v>
          </cell>
          <cell r="CA18">
            <v>483</v>
          </cell>
          <cell r="CC18">
            <v>50</v>
          </cell>
          <cell r="CD18">
            <v>40</v>
          </cell>
          <cell r="CF18">
            <v>15</v>
          </cell>
          <cell r="CG18">
            <v>15</v>
          </cell>
        </row>
        <row r="19">
          <cell r="H19">
            <v>539</v>
          </cell>
          <cell r="I19">
            <v>499</v>
          </cell>
          <cell r="K19">
            <v>137</v>
          </cell>
          <cell r="L19">
            <v>136</v>
          </cell>
          <cell r="N19">
            <v>471</v>
          </cell>
          <cell r="O19">
            <v>429</v>
          </cell>
          <cell r="Q19">
            <v>328</v>
          </cell>
          <cell r="R19">
            <v>254</v>
          </cell>
          <cell r="T19">
            <v>2678</v>
          </cell>
          <cell r="U19">
            <v>2127</v>
          </cell>
          <cell r="W19">
            <v>571</v>
          </cell>
          <cell r="Y19">
            <v>249</v>
          </cell>
          <cell r="AA19">
            <v>56</v>
          </cell>
          <cell r="AB19">
            <v>55</v>
          </cell>
          <cell r="AD19">
            <v>0</v>
          </cell>
          <cell r="AE19">
            <v>0</v>
          </cell>
          <cell r="AJ19">
            <v>2329</v>
          </cell>
          <cell r="AK19">
            <v>2278</v>
          </cell>
          <cell r="AM19">
            <v>0</v>
          </cell>
          <cell r="AN19">
            <v>0</v>
          </cell>
          <cell r="AP19">
            <v>182</v>
          </cell>
          <cell r="AQ19">
            <v>99</v>
          </cell>
          <cell r="AS19">
            <v>70</v>
          </cell>
          <cell r="AT19">
            <v>70</v>
          </cell>
          <cell r="AV19">
            <v>0</v>
          </cell>
          <cell r="AW19">
            <v>0</v>
          </cell>
          <cell r="AY19">
            <v>22</v>
          </cell>
          <cell r="AZ19">
            <v>22</v>
          </cell>
          <cell r="BB19">
            <v>139</v>
          </cell>
          <cell r="BC19">
            <v>134</v>
          </cell>
          <cell r="BE19">
            <v>31</v>
          </cell>
          <cell r="BF19">
            <v>44</v>
          </cell>
          <cell r="BH19">
            <v>49</v>
          </cell>
          <cell r="BI19">
            <v>47</v>
          </cell>
          <cell r="BK19">
            <v>58</v>
          </cell>
          <cell r="BL19">
            <v>58</v>
          </cell>
          <cell r="BN19">
            <v>55</v>
          </cell>
          <cell r="BO19">
            <v>53</v>
          </cell>
          <cell r="BQ19">
            <v>36</v>
          </cell>
          <cell r="BR19">
            <v>35</v>
          </cell>
          <cell r="BT19">
            <v>12</v>
          </cell>
          <cell r="BU19">
            <v>12</v>
          </cell>
          <cell r="BW19">
            <v>0</v>
          </cell>
          <cell r="BX19">
            <v>0</v>
          </cell>
          <cell r="BZ19">
            <v>499</v>
          </cell>
          <cell r="CA19">
            <v>356</v>
          </cell>
          <cell r="CC19">
            <v>120</v>
          </cell>
          <cell r="CD19">
            <v>112</v>
          </cell>
          <cell r="CF19">
            <v>0</v>
          </cell>
          <cell r="CG19">
            <v>0</v>
          </cell>
        </row>
        <row r="20">
          <cell r="H20">
            <v>273</v>
          </cell>
          <cell r="I20">
            <v>266</v>
          </cell>
          <cell r="K20">
            <v>186</v>
          </cell>
          <cell r="L20">
            <v>176</v>
          </cell>
          <cell r="N20">
            <v>251</v>
          </cell>
          <cell r="O20">
            <v>251</v>
          </cell>
          <cell r="Q20">
            <v>197</v>
          </cell>
          <cell r="R20">
            <v>163</v>
          </cell>
          <cell r="T20">
            <v>2229</v>
          </cell>
          <cell r="U20">
            <v>2062</v>
          </cell>
          <cell r="W20">
            <v>257</v>
          </cell>
          <cell r="Y20">
            <v>120</v>
          </cell>
          <cell r="AA20">
            <v>37</v>
          </cell>
          <cell r="AB20">
            <v>37</v>
          </cell>
          <cell r="AD20">
            <v>22</v>
          </cell>
          <cell r="AE20">
            <v>6</v>
          </cell>
          <cell r="AJ20">
            <v>592</v>
          </cell>
          <cell r="AK20">
            <v>587</v>
          </cell>
          <cell r="AM20">
            <v>0</v>
          </cell>
          <cell r="AN20">
            <v>0</v>
          </cell>
          <cell r="AP20">
            <v>214</v>
          </cell>
          <cell r="AQ20">
            <v>182</v>
          </cell>
          <cell r="AS20">
            <v>12</v>
          </cell>
          <cell r="AT20">
            <v>12</v>
          </cell>
          <cell r="AV20">
            <v>0</v>
          </cell>
          <cell r="AW20">
            <v>0</v>
          </cell>
          <cell r="AY20">
            <v>93</v>
          </cell>
          <cell r="AZ20">
            <v>93</v>
          </cell>
          <cell r="BB20">
            <v>110</v>
          </cell>
          <cell r="BC20">
            <v>110</v>
          </cell>
          <cell r="BE20">
            <v>1</v>
          </cell>
          <cell r="BF20">
            <v>1</v>
          </cell>
          <cell r="BH20">
            <v>23</v>
          </cell>
          <cell r="BI20">
            <v>23</v>
          </cell>
          <cell r="BK20">
            <v>38</v>
          </cell>
          <cell r="BL20">
            <v>38</v>
          </cell>
          <cell r="BN20">
            <v>27</v>
          </cell>
          <cell r="BO20">
            <v>27</v>
          </cell>
          <cell r="BQ20">
            <v>22</v>
          </cell>
          <cell r="BR20">
            <v>22</v>
          </cell>
          <cell r="BT20">
            <v>20</v>
          </cell>
          <cell r="BU20">
            <v>20</v>
          </cell>
          <cell r="BW20">
            <v>0</v>
          </cell>
          <cell r="BX20">
            <v>0</v>
          </cell>
          <cell r="BZ20">
            <v>266</v>
          </cell>
          <cell r="CA20">
            <v>266</v>
          </cell>
          <cell r="CC20">
            <v>15</v>
          </cell>
          <cell r="CD20">
            <v>15</v>
          </cell>
          <cell r="CF20">
            <v>0</v>
          </cell>
          <cell r="CG20">
            <v>0</v>
          </cell>
        </row>
        <row r="21">
          <cell r="H21">
            <v>367</v>
          </cell>
          <cell r="I21">
            <v>346</v>
          </cell>
          <cell r="K21">
            <v>120</v>
          </cell>
          <cell r="L21">
            <v>120</v>
          </cell>
          <cell r="N21">
            <v>355</v>
          </cell>
          <cell r="O21">
            <v>346</v>
          </cell>
          <cell r="Q21">
            <v>344</v>
          </cell>
          <cell r="R21">
            <v>292</v>
          </cell>
          <cell r="T21">
            <v>3345</v>
          </cell>
          <cell r="U21">
            <v>2299</v>
          </cell>
          <cell r="W21">
            <v>317</v>
          </cell>
          <cell r="Y21">
            <v>173</v>
          </cell>
          <cell r="AA21">
            <v>79</v>
          </cell>
          <cell r="AB21">
            <v>75</v>
          </cell>
          <cell r="AD21">
            <v>35</v>
          </cell>
          <cell r="AE21">
            <v>10</v>
          </cell>
          <cell r="AJ21">
            <v>789</v>
          </cell>
          <cell r="AK21">
            <v>789</v>
          </cell>
          <cell r="AM21">
            <v>0</v>
          </cell>
          <cell r="AN21">
            <v>0</v>
          </cell>
          <cell r="AP21">
            <v>305</v>
          </cell>
          <cell r="AQ21">
            <v>51</v>
          </cell>
          <cell r="AS21">
            <v>24</v>
          </cell>
          <cell r="AT21">
            <v>24</v>
          </cell>
          <cell r="AV21">
            <v>0</v>
          </cell>
          <cell r="AW21">
            <v>0</v>
          </cell>
          <cell r="AY21">
            <v>94</v>
          </cell>
          <cell r="AZ21">
            <v>94</v>
          </cell>
          <cell r="BB21">
            <v>95</v>
          </cell>
          <cell r="BC21">
            <v>95</v>
          </cell>
          <cell r="BE21">
            <v>5</v>
          </cell>
          <cell r="BF21">
            <v>9</v>
          </cell>
          <cell r="BH21">
            <v>14</v>
          </cell>
          <cell r="BI21">
            <v>14</v>
          </cell>
          <cell r="BK21">
            <v>35</v>
          </cell>
          <cell r="BL21">
            <v>34</v>
          </cell>
          <cell r="BN21">
            <v>33</v>
          </cell>
          <cell r="BO21">
            <v>25</v>
          </cell>
          <cell r="BQ21">
            <v>20</v>
          </cell>
          <cell r="BR21">
            <v>18</v>
          </cell>
          <cell r="BT21">
            <v>46</v>
          </cell>
          <cell r="BU21">
            <v>40</v>
          </cell>
          <cell r="BW21">
            <v>0</v>
          </cell>
          <cell r="BX21">
            <v>0</v>
          </cell>
          <cell r="BZ21">
            <v>346</v>
          </cell>
          <cell r="CA21">
            <v>355</v>
          </cell>
          <cell r="CC21">
            <v>45</v>
          </cell>
          <cell r="CD21">
            <v>45</v>
          </cell>
          <cell r="CF21">
            <v>0</v>
          </cell>
          <cell r="CG21">
            <v>0</v>
          </cell>
        </row>
        <row r="22">
          <cell r="H22">
            <v>281</v>
          </cell>
          <cell r="I22">
            <v>275</v>
          </cell>
          <cell r="K22">
            <v>195</v>
          </cell>
          <cell r="L22">
            <v>192</v>
          </cell>
          <cell r="N22">
            <v>266</v>
          </cell>
          <cell r="O22">
            <v>266</v>
          </cell>
          <cell r="Q22">
            <v>169</v>
          </cell>
          <cell r="R22">
            <v>153</v>
          </cell>
          <cell r="T22">
            <v>1504</v>
          </cell>
          <cell r="U22">
            <v>1251</v>
          </cell>
          <cell r="W22">
            <v>435</v>
          </cell>
          <cell r="Y22">
            <v>187</v>
          </cell>
          <cell r="AA22">
            <v>0</v>
          </cell>
          <cell r="AB22">
            <v>0</v>
          </cell>
          <cell r="AD22">
            <v>0</v>
          </cell>
          <cell r="AE22">
            <v>0</v>
          </cell>
          <cell r="AJ22">
            <v>1410</v>
          </cell>
          <cell r="AK22">
            <v>763</v>
          </cell>
          <cell r="AM22">
            <v>0</v>
          </cell>
          <cell r="AN22">
            <v>0</v>
          </cell>
          <cell r="AP22">
            <v>245</v>
          </cell>
          <cell r="AQ22">
            <v>27</v>
          </cell>
          <cell r="AS22">
            <v>26</v>
          </cell>
          <cell r="AT22">
            <v>26</v>
          </cell>
          <cell r="AV22">
            <v>0</v>
          </cell>
          <cell r="AW22">
            <v>0</v>
          </cell>
          <cell r="AY22">
            <v>133</v>
          </cell>
          <cell r="AZ22">
            <v>133</v>
          </cell>
          <cell r="BB22">
            <v>101</v>
          </cell>
          <cell r="BC22">
            <v>101</v>
          </cell>
          <cell r="BE22">
            <v>1</v>
          </cell>
          <cell r="BF22">
            <v>11</v>
          </cell>
          <cell r="BH22">
            <v>31</v>
          </cell>
          <cell r="BI22">
            <v>31</v>
          </cell>
          <cell r="BK22">
            <v>34</v>
          </cell>
          <cell r="BL22">
            <v>29</v>
          </cell>
          <cell r="BN22">
            <v>27</v>
          </cell>
          <cell r="BO22">
            <v>22</v>
          </cell>
          <cell r="BQ22">
            <v>21</v>
          </cell>
          <cell r="BR22">
            <v>16</v>
          </cell>
          <cell r="BT22">
            <v>25</v>
          </cell>
          <cell r="BU22">
            <v>25</v>
          </cell>
          <cell r="BW22">
            <v>0</v>
          </cell>
          <cell r="BX22">
            <v>0</v>
          </cell>
          <cell r="BZ22">
            <v>275</v>
          </cell>
          <cell r="CA22">
            <v>449</v>
          </cell>
          <cell r="CC22">
            <v>51</v>
          </cell>
          <cell r="CD22">
            <v>51</v>
          </cell>
          <cell r="CF22">
            <v>0</v>
          </cell>
          <cell r="CG22">
            <v>0</v>
          </cell>
        </row>
        <row r="23">
          <cell r="H23">
            <v>229</v>
          </cell>
          <cell r="I23">
            <v>173</v>
          </cell>
          <cell r="K23">
            <v>29</v>
          </cell>
          <cell r="L23">
            <v>24</v>
          </cell>
          <cell r="N23">
            <v>214</v>
          </cell>
          <cell r="O23">
            <v>212</v>
          </cell>
          <cell r="Q23">
            <v>125</v>
          </cell>
          <cell r="R23">
            <v>106</v>
          </cell>
          <cell r="T23">
            <v>1120</v>
          </cell>
          <cell r="U23">
            <v>888</v>
          </cell>
          <cell r="W23">
            <v>263</v>
          </cell>
          <cell r="Y23">
            <v>114</v>
          </cell>
          <cell r="AA23">
            <v>32</v>
          </cell>
          <cell r="AB23">
            <v>32</v>
          </cell>
          <cell r="AD23">
            <v>267</v>
          </cell>
          <cell r="AE23">
            <v>9</v>
          </cell>
          <cell r="AJ23">
            <v>1346</v>
          </cell>
          <cell r="AK23">
            <v>1346</v>
          </cell>
          <cell r="AM23">
            <v>0</v>
          </cell>
          <cell r="AN23">
            <v>0</v>
          </cell>
          <cell r="AP23">
            <v>88</v>
          </cell>
          <cell r="AQ23">
            <v>67</v>
          </cell>
          <cell r="AS23">
            <v>8</v>
          </cell>
          <cell r="AT23">
            <v>8</v>
          </cell>
          <cell r="AV23">
            <v>0</v>
          </cell>
          <cell r="AW23">
            <v>0</v>
          </cell>
          <cell r="AY23">
            <v>66</v>
          </cell>
          <cell r="AZ23">
            <v>66</v>
          </cell>
          <cell r="BB23">
            <v>29</v>
          </cell>
          <cell r="BC23">
            <v>29</v>
          </cell>
          <cell r="BE23">
            <v>18</v>
          </cell>
          <cell r="BF23">
            <v>22</v>
          </cell>
          <cell r="BH23">
            <v>24</v>
          </cell>
          <cell r="BI23">
            <v>24</v>
          </cell>
          <cell r="BK23">
            <v>30</v>
          </cell>
          <cell r="BL23">
            <v>28</v>
          </cell>
          <cell r="BN23">
            <v>31</v>
          </cell>
          <cell r="BO23">
            <v>20</v>
          </cell>
          <cell r="BQ23">
            <v>16</v>
          </cell>
          <cell r="BR23">
            <v>12</v>
          </cell>
          <cell r="BT23">
            <v>22</v>
          </cell>
          <cell r="BU23">
            <v>22</v>
          </cell>
          <cell r="BW23">
            <v>2</v>
          </cell>
          <cell r="BX23">
            <v>2</v>
          </cell>
          <cell r="BZ23">
            <v>173</v>
          </cell>
          <cell r="CA23">
            <v>212</v>
          </cell>
          <cell r="CC23">
            <v>46</v>
          </cell>
          <cell r="CD23">
            <v>45</v>
          </cell>
          <cell r="CF23">
            <v>0</v>
          </cell>
          <cell r="CG23">
            <v>0</v>
          </cell>
        </row>
        <row r="24">
          <cell r="H24">
            <v>224</v>
          </cell>
          <cell r="I24">
            <v>220</v>
          </cell>
          <cell r="K24">
            <v>151</v>
          </cell>
          <cell r="L24">
            <v>120</v>
          </cell>
          <cell r="N24">
            <v>205</v>
          </cell>
          <cell r="O24">
            <v>205</v>
          </cell>
          <cell r="Q24">
            <v>147</v>
          </cell>
          <cell r="R24">
            <v>133</v>
          </cell>
          <cell r="T24">
            <v>843</v>
          </cell>
          <cell r="U24">
            <v>671</v>
          </cell>
          <cell r="W24">
            <v>234</v>
          </cell>
          <cell r="Y24">
            <v>151</v>
          </cell>
          <cell r="AA24">
            <v>0</v>
          </cell>
          <cell r="AB24">
            <v>0</v>
          </cell>
          <cell r="AD24">
            <v>0</v>
          </cell>
          <cell r="AE24">
            <v>0</v>
          </cell>
          <cell r="AJ24">
            <v>2042</v>
          </cell>
          <cell r="AK24">
            <v>1912</v>
          </cell>
          <cell r="AM24">
            <v>0</v>
          </cell>
          <cell r="AN24">
            <v>0</v>
          </cell>
          <cell r="AP24">
            <v>41</v>
          </cell>
          <cell r="AQ24">
            <v>31</v>
          </cell>
          <cell r="AS24">
            <v>56</v>
          </cell>
          <cell r="AT24">
            <v>42</v>
          </cell>
          <cell r="AV24">
            <v>0</v>
          </cell>
          <cell r="AW24">
            <v>0</v>
          </cell>
          <cell r="AY24">
            <v>102</v>
          </cell>
          <cell r="AZ24">
            <v>72</v>
          </cell>
          <cell r="BB24">
            <v>39</v>
          </cell>
          <cell r="BC24">
            <v>39</v>
          </cell>
          <cell r="BE24">
            <v>13</v>
          </cell>
          <cell r="BF24">
            <v>13</v>
          </cell>
          <cell r="BH24">
            <v>15</v>
          </cell>
          <cell r="BI24">
            <v>15</v>
          </cell>
          <cell r="BK24">
            <v>15</v>
          </cell>
          <cell r="BL24">
            <v>15</v>
          </cell>
          <cell r="BN24">
            <v>12</v>
          </cell>
          <cell r="BO24">
            <v>9</v>
          </cell>
          <cell r="BQ24">
            <v>8</v>
          </cell>
          <cell r="BR24">
            <v>8</v>
          </cell>
          <cell r="BT24">
            <v>14</v>
          </cell>
          <cell r="BU24">
            <v>14</v>
          </cell>
          <cell r="BW24">
            <v>1</v>
          </cell>
          <cell r="BX24">
            <v>0</v>
          </cell>
          <cell r="BZ24">
            <v>220</v>
          </cell>
          <cell r="CA24">
            <v>212</v>
          </cell>
          <cell r="CC24">
            <v>91</v>
          </cell>
          <cell r="CD24">
            <v>91</v>
          </cell>
          <cell r="CF24">
            <v>0</v>
          </cell>
          <cell r="CG24">
            <v>0</v>
          </cell>
        </row>
        <row r="25">
          <cell r="H25">
            <v>681</v>
          </cell>
          <cell r="I25">
            <v>512</v>
          </cell>
          <cell r="K25">
            <v>479</v>
          </cell>
          <cell r="L25">
            <v>312</v>
          </cell>
          <cell r="N25">
            <v>582</v>
          </cell>
          <cell r="O25">
            <v>571</v>
          </cell>
          <cell r="Q25">
            <v>347</v>
          </cell>
          <cell r="R25">
            <v>328</v>
          </cell>
          <cell r="T25">
            <v>641</v>
          </cell>
          <cell r="U25">
            <v>495</v>
          </cell>
          <cell r="W25">
            <v>1133</v>
          </cell>
          <cell r="Y25">
            <v>647</v>
          </cell>
          <cell r="AA25">
            <v>16</v>
          </cell>
          <cell r="AB25">
            <v>16</v>
          </cell>
          <cell r="AD25">
            <v>5</v>
          </cell>
          <cell r="AE25">
            <v>2</v>
          </cell>
          <cell r="AJ25">
            <v>2643</v>
          </cell>
          <cell r="AK25">
            <v>2490</v>
          </cell>
          <cell r="AM25">
            <v>0</v>
          </cell>
          <cell r="AN25">
            <v>0</v>
          </cell>
          <cell r="AP25">
            <v>129</v>
          </cell>
          <cell r="AQ25">
            <v>64</v>
          </cell>
          <cell r="AS25">
            <v>208</v>
          </cell>
          <cell r="AT25">
            <v>170</v>
          </cell>
          <cell r="AV25">
            <v>0</v>
          </cell>
          <cell r="AW25">
            <v>0</v>
          </cell>
          <cell r="AY25">
            <v>256</v>
          </cell>
          <cell r="AZ25">
            <v>224</v>
          </cell>
          <cell r="BB25">
            <v>226</v>
          </cell>
          <cell r="BC25">
            <v>183</v>
          </cell>
          <cell r="BE25">
            <v>17</v>
          </cell>
          <cell r="BF25">
            <v>17</v>
          </cell>
          <cell r="BH25">
            <v>42</v>
          </cell>
          <cell r="BI25">
            <v>42</v>
          </cell>
          <cell r="BK25">
            <v>61</v>
          </cell>
          <cell r="BL25">
            <v>60</v>
          </cell>
          <cell r="BN25">
            <v>48</v>
          </cell>
          <cell r="BO25">
            <v>41</v>
          </cell>
          <cell r="BQ25">
            <v>37</v>
          </cell>
          <cell r="BR25">
            <v>26</v>
          </cell>
          <cell r="BT25">
            <v>44</v>
          </cell>
          <cell r="BU25">
            <v>31</v>
          </cell>
          <cell r="BW25">
            <v>0</v>
          </cell>
          <cell r="BX25">
            <v>0</v>
          </cell>
          <cell r="BZ25">
            <v>512</v>
          </cell>
          <cell r="CA25">
            <v>683</v>
          </cell>
          <cell r="CC25">
            <v>41</v>
          </cell>
          <cell r="CD25">
            <v>41</v>
          </cell>
          <cell r="CF25">
            <v>4</v>
          </cell>
          <cell r="CG25">
            <v>4</v>
          </cell>
        </row>
        <row r="26">
          <cell r="H26">
            <v>502</v>
          </cell>
          <cell r="I26">
            <v>407</v>
          </cell>
          <cell r="K26">
            <v>0</v>
          </cell>
          <cell r="L26">
            <v>0</v>
          </cell>
          <cell r="N26">
            <v>506</v>
          </cell>
          <cell r="O26">
            <v>506</v>
          </cell>
          <cell r="Q26">
            <v>464</v>
          </cell>
          <cell r="R26">
            <v>382</v>
          </cell>
          <cell r="T26">
            <v>2721</v>
          </cell>
          <cell r="U26">
            <v>2218</v>
          </cell>
          <cell r="W26">
            <v>1592</v>
          </cell>
          <cell r="Y26">
            <v>1213</v>
          </cell>
          <cell r="AA26">
            <v>199</v>
          </cell>
          <cell r="AB26">
            <v>198</v>
          </cell>
          <cell r="AD26">
            <v>131</v>
          </cell>
          <cell r="AE26">
            <v>36</v>
          </cell>
          <cell r="AJ26">
            <v>403</v>
          </cell>
          <cell r="AK26">
            <v>352</v>
          </cell>
          <cell r="AM26">
            <v>0</v>
          </cell>
          <cell r="AN26">
            <v>0</v>
          </cell>
          <cell r="AP26">
            <v>22</v>
          </cell>
          <cell r="AQ26">
            <v>2</v>
          </cell>
          <cell r="AS26">
            <v>43</v>
          </cell>
          <cell r="AT26">
            <v>22</v>
          </cell>
          <cell r="AV26">
            <v>3</v>
          </cell>
          <cell r="AW26">
            <v>3</v>
          </cell>
          <cell r="AY26">
            <v>34</v>
          </cell>
          <cell r="AZ26">
            <v>34</v>
          </cell>
          <cell r="BB26">
            <v>0</v>
          </cell>
          <cell r="BC26">
            <v>0</v>
          </cell>
          <cell r="BE26">
            <v>5</v>
          </cell>
          <cell r="BF26">
            <v>0</v>
          </cell>
          <cell r="BH26">
            <v>0</v>
          </cell>
          <cell r="BI26">
            <v>0</v>
          </cell>
          <cell r="BK26">
            <v>0</v>
          </cell>
          <cell r="BL26">
            <v>0</v>
          </cell>
          <cell r="BN26">
            <v>0</v>
          </cell>
          <cell r="BO26">
            <v>0</v>
          </cell>
          <cell r="BQ26">
            <v>0</v>
          </cell>
          <cell r="BR26">
            <v>0</v>
          </cell>
          <cell r="BT26">
            <v>0</v>
          </cell>
          <cell r="BU26">
            <v>0</v>
          </cell>
          <cell r="BW26">
            <v>0</v>
          </cell>
          <cell r="BX26">
            <v>0</v>
          </cell>
          <cell r="BZ26">
            <v>407</v>
          </cell>
          <cell r="CA26">
            <v>9</v>
          </cell>
          <cell r="CC26">
            <v>69</v>
          </cell>
          <cell r="CD26">
            <v>48</v>
          </cell>
          <cell r="CF26">
            <v>0</v>
          </cell>
          <cell r="CG26">
            <v>0</v>
          </cell>
        </row>
        <row r="27">
          <cell r="H27">
            <v>589</v>
          </cell>
          <cell r="I27">
            <v>503</v>
          </cell>
          <cell r="K27">
            <v>47</v>
          </cell>
          <cell r="L27">
            <v>13</v>
          </cell>
          <cell r="N27">
            <v>531</v>
          </cell>
          <cell r="O27">
            <v>531</v>
          </cell>
          <cell r="Q27">
            <v>397</v>
          </cell>
          <cell r="R27">
            <v>294</v>
          </cell>
          <cell r="T27">
            <v>3939</v>
          </cell>
          <cell r="U27">
            <v>3281</v>
          </cell>
          <cell r="W27">
            <v>1241</v>
          </cell>
          <cell r="Y27">
            <v>1114</v>
          </cell>
          <cell r="AA27">
            <v>161</v>
          </cell>
          <cell r="AB27">
            <v>163</v>
          </cell>
          <cell r="AD27">
            <v>71</v>
          </cell>
          <cell r="AE27">
            <v>65</v>
          </cell>
          <cell r="AJ27">
            <v>2294</v>
          </cell>
          <cell r="AK27">
            <v>2218</v>
          </cell>
          <cell r="AM27">
            <v>63</v>
          </cell>
          <cell r="AN27">
            <v>58</v>
          </cell>
          <cell r="AP27">
            <v>71</v>
          </cell>
          <cell r="AQ27">
            <v>15</v>
          </cell>
          <cell r="AS27">
            <v>137</v>
          </cell>
          <cell r="AT27">
            <v>46</v>
          </cell>
          <cell r="AV27">
            <v>49</v>
          </cell>
          <cell r="AW27">
            <v>3</v>
          </cell>
          <cell r="AY27">
            <v>3</v>
          </cell>
          <cell r="AZ27">
            <v>2</v>
          </cell>
          <cell r="BB27">
            <v>0</v>
          </cell>
          <cell r="BC27">
            <v>0</v>
          </cell>
          <cell r="BE27">
            <v>4</v>
          </cell>
          <cell r="BF27">
            <v>4</v>
          </cell>
          <cell r="BH27">
            <v>0</v>
          </cell>
          <cell r="BI27">
            <v>0</v>
          </cell>
          <cell r="BK27">
            <v>0</v>
          </cell>
          <cell r="BL27">
            <v>0</v>
          </cell>
          <cell r="BN27">
            <v>0</v>
          </cell>
          <cell r="BO27">
            <v>0</v>
          </cell>
          <cell r="BQ27">
            <v>0</v>
          </cell>
          <cell r="BR27">
            <v>0</v>
          </cell>
          <cell r="BT27">
            <v>0</v>
          </cell>
          <cell r="BU27">
            <v>0</v>
          </cell>
          <cell r="BW27">
            <v>0</v>
          </cell>
          <cell r="BX27">
            <v>0</v>
          </cell>
          <cell r="BZ27">
            <v>503</v>
          </cell>
          <cell r="CA27">
            <v>431</v>
          </cell>
          <cell r="CC27">
            <v>57</v>
          </cell>
          <cell r="CD27">
            <v>46</v>
          </cell>
          <cell r="CF27">
            <v>0</v>
          </cell>
          <cell r="CG27">
            <v>0</v>
          </cell>
        </row>
        <row r="28">
          <cell r="H28">
            <v>356</v>
          </cell>
          <cell r="I28">
            <v>313</v>
          </cell>
          <cell r="K28">
            <v>10</v>
          </cell>
          <cell r="L28">
            <v>5</v>
          </cell>
          <cell r="N28">
            <v>273</v>
          </cell>
          <cell r="O28">
            <v>273</v>
          </cell>
          <cell r="Q28">
            <v>303</v>
          </cell>
          <cell r="R28">
            <v>273</v>
          </cell>
          <cell r="T28">
            <v>797</v>
          </cell>
          <cell r="U28">
            <v>656</v>
          </cell>
          <cell r="W28">
            <v>586</v>
          </cell>
          <cell r="Y28">
            <v>320</v>
          </cell>
          <cell r="AA28">
            <v>169</v>
          </cell>
          <cell r="AB28">
            <v>169</v>
          </cell>
          <cell r="AD28">
            <v>110</v>
          </cell>
          <cell r="AE28">
            <v>43</v>
          </cell>
          <cell r="AJ28">
            <v>353</v>
          </cell>
          <cell r="AK28">
            <v>316</v>
          </cell>
          <cell r="AM28">
            <v>1</v>
          </cell>
          <cell r="AN28">
            <v>1</v>
          </cell>
          <cell r="AP28">
            <v>43</v>
          </cell>
          <cell r="AQ28">
            <v>26</v>
          </cell>
          <cell r="AS28">
            <v>150</v>
          </cell>
          <cell r="AT28">
            <v>128</v>
          </cell>
          <cell r="AV28">
            <v>33</v>
          </cell>
          <cell r="AW28">
            <v>33</v>
          </cell>
          <cell r="AY28">
            <v>46</v>
          </cell>
          <cell r="AZ28">
            <v>43</v>
          </cell>
          <cell r="BB28">
            <v>25</v>
          </cell>
          <cell r="BC28">
            <v>20</v>
          </cell>
          <cell r="BE28">
            <v>0</v>
          </cell>
          <cell r="BF28">
            <v>5</v>
          </cell>
          <cell r="BH28">
            <v>0</v>
          </cell>
          <cell r="BI28">
            <v>0</v>
          </cell>
          <cell r="BK28">
            <v>0</v>
          </cell>
          <cell r="BL28">
            <v>0</v>
          </cell>
          <cell r="BN28">
            <v>0</v>
          </cell>
          <cell r="BO28">
            <v>0</v>
          </cell>
          <cell r="BQ28">
            <v>0</v>
          </cell>
          <cell r="BR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0</v>
          </cell>
          <cell r="BZ28">
            <v>313</v>
          </cell>
          <cell r="CA28">
            <v>1845</v>
          </cell>
          <cell r="CC28">
            <v>145</v>
          </cell>
          <cell r="CD28">
            <v>117</v>
          </cell>
          <cell r="CF28">
            <v>0</v>
          </cell>
          <cell r="CG28">
            <v>0</v>
          </cell>
        </row>
        <row r="29">
          <cell r="H29">
            <v>509</v>
          </cell>
          <cell r="I29">
            <v>383</v>
          </cell>
          <cell r="K29">
            <v>0</v>
          </cell>
          <cell r="L29">
            <v>0</v>
          </cell>
          <cell r="N29">
            <v>456</v>
          </cell>
          <cell r="O29">
            <v>425</v>
          </cell>
          <cell r="Q29">
            <v>442</v>
          </cell>
          <cell r="R29">
            <v>282</v>
          </cell>
          <cell r="T29">
            <v>1885</v>
          </cell>
          <cell r="U29">
            <v>1078</v>
          </cell>
          <cell r="W29">
            <v>1011</v>
          </cell>
          <cell r="Y29">
            <v>607</v>
          </cell>
          <cell r="AA29">
            <v>123</v>
          </cell>
          <cell r="AB29">
            <v>123</v>
          </cell>
          <cell r="AD29">
            <v>80</v>
          </cell>
          <cell r="AE29">
            <v>37</v>
          </cell>
          <cell r="AJ29">
            <v>2163</v>
          </cell>
          <cell r="AK29">
            <v>1577</v>
          </cell>
          <cell r="AM29">
            <v>8</v>
          </cell>
          <cell r="AN29">
            <v>1</v>
          </cell>
          <cell r="AP29">
            <v>195</v>
          </cell>
          <cell r="AQ29">
            <v>27</v>
          </cell>
          <cell r="AS29">
            <v>281</v>
          </cell>
          <cell r="AT29">
            <v>55</v>
          </cell>
          <cell r="AV29">
            <v>1</v>
          </cell>
          <cell r="AW29">
            <v>1</v>
          </cell>
          <cell r="AY29">
            <v>152</v>
          </cell>
          <cell r="AZ29">
            <v>75</v>
          </cell>
          <cell r="BB29">
            <v>10</v>
          </cell>
          <cell r="BC29">
            <v>2</v>
          </cell>
          <cell r="BE29">
            <v>0</v>
          </cell>
          <cell r="BF29">
            <v>0</v>
          </cell>
          <cell r="BH29">
            <v>0</v>
          </cell>
          <cell r="BI29">
            <v>0</v>
          </cell>
          <cell r="BK29">
            <v>4</v>
          </cell>
          <cell r="BL29">
            <v>4</v>
          </cell>
          <cell r="BN29">
            <v>1</v>
          </cell>
          <cell r="BO29">
            <v>1</v>
          </cell>
          <cell r="BQ29">
            <v>0</v>
          </cell>
          <cell r="BR29">
            <v>0</v>
          </cell>
          <cell r="BT29">
            <v>0</v>
          </cell>
          <cell r="BU29">
            <v>0</v>
          </cell>
          <cell r="BW29">
            <v>0</v>
          </cell>
          <cell r="BX29">
            <v>0</v>
          </cell>
          <cell r="BZ29">
            <v>383</v>
          </cell>
          <cell r="CA29">
            <v>0</v>
          </cell>
          <cell r="CC29">
            <v>29</v>
          </cell>
          <cell r="CD29">
            <v>18</v>
          </cell>
          <cell r="CF29">
            <v>0</v>
          </cell>
          <cell r="CG29">
            <v>0</v>
          </cell>
        </row>
        <row r="30">
          <cell r="H30">
            <v>522</v>
          </cell>
          <cell r="I30">
            <v>453</v>
          </cell>
          <cell r="K30">
            <v>0</v>
          </cell>
          <cell r="L30">
            <v>0</v>
          </cell>
          <cell r="N30">
            <v>594</v>
          </cell>
          <cell r="O30">
            <v>594</v>
          </cell>
          <cell r="Q30">
            <v>468</v>
          </cell>
          <cell r="R30">
            <v>410</v>
          </cell>
          <cell r="T30">
            <v>2520</v>
          </cell>
          <cell r="U30">
            <v>2220</v>
          </cell>
          <cell r="W30">
            <v>1020</v>
          </cell>
          <cell r="Y30">
            <v>852</v>
          </cell>
          <cell r="AA30">
            <v>461</v>
          </cell>
          <cell r="AB30">
            <v>456</v>
          </cell>
          <cell r="AD30">
            <v>373</v>
          </cell>
          <cell r="AE30">
            <v>308</v>
          </cell>
          <cell r="AJ30">
            <v>818</v>
          </cell>
          <cell r="AK30">
            <v>767</v>
          </cell>
          <cell r="AM30">
            <v>0</v>
          </cell>
          <cell r="AN30">
            <v>0</v>
          </cell>
          <cell r="AP30">
            <v>63</v>
          </cell>
          <cell r="AQ30">
            <v>4</v>
          </cell>
          <cell r="AS30">
            <v>22</v>
          </cell>
          <cell r="AT30">
            <v>22</v>
          </cell>
          <cell r="AV30">
            <v>0</v>
          </cell>
          <cell r="AW30">
            <v>0</v>
          </cell>
          <cell r="AY30">
            <v>16</v>
          </cell>
          <cell r="AZ30">
            <v>14</v>
          </cell>
          <cell r="BB30">
            <v>34</v>
          </cell>
          <cell r="BC30">
            <v>24</v>
          </cell>
          <cell r="BE30">
            <v>1</v>
          </cell>
          <cell r="BF30">
            <v>0</v>
          </cell>
          <cell r="BH30">
            <v>0</v>
          </cell>
          <cell r="BI30">
            <v>0</v>
          </cell>
          <cell r="BK30">
            <v>0</v>
          </cell>
          <cell r="BL30">
            <v>0</v>
          </cell>
          <cell r="BN30">
            <v>0</v>
          </cell>
          <cell r="BO30">
            <v>0</v>
          </cell>
          <cell r="BQ30">
            <v>0</v>
          </cell>
          <cell r="BR30">
            <v>0</v>
          </cell>
          <cell r="BT30">
            <v>0</v>
          </cell>
          <cell r="BU30">
            <v>0</v>
          </cell>
          <cell r="BW30">
            <v>0</v>
          </cell>
          <cell r="BX30">
            <v>0</v>
          </cell>
          <cell r="BZ30">
            <v>453</v>
          </cell>
          <cell r="CA30">
            <v>0</v>
          </cell>
          <cell r="CC30">
            <v>123</v>
          </cell>
          <cell r="CD30">
            <v>107</v>
          </cell>
          <cell r="CF30">
            <v>23</v>
          </cell>
          <cell r="CG30">
            <v>22</v>
          </cell>
        </row>
        <row r="31">
          <cell r="H31">
            <v>734</v>
          </cell>
          <cell r="I31">
            <v>759</v>
          </cell>
          <cell r="K31">
            <v>23</v>
          </cell>
          <cell r="L31">
            <v>22</v>
          </cell>
          <cell r="N31">
            <v>726</v>
          </cell>
          <cell r="O31">
            <v>726</v>
          </cell>
          <cell r="Q31">
            <v>443</v>
          </cell>
          <cell r="R31">
            <v>330</v>
          </cell>
          <cell r="T31">
            <v>3274</v>
          </cell>
          <cell r="U31">
            <v>2077</v>
          </cell>
          <cell r="W31">
            <v>2156</v>
          </cell>
          <cell r="Y31">
            <v>1020</v>
          </cell>
          <cell r="AA31">
            <v>321</v>
          </cell>
          <cell r="AB31">
            <v>321</v>
          </cell>
          <cell r="AD31">
            <v>757</v>
          </cell>
          <cell r="AE31">
            <v>615</v>
          </cell>
          <cell r="AJ31">
            <v>2032</v>
          </cell>
          <cell r="AK31">
            <v>1408</v>
          </cell>
          <cell r="AM31">
            <v>0</v>
          </cell>
          <cell r="AN31">
            <v>0</v>
          </cell>
          <cell r="AP31">
            <v>180</v>
          </cell>
          <cell r="AQ31">
            <v>76</v>
          </cell>
          <cell r="AS31">
            <v>312</v>
          </cell>
          <cell r="AT31">
            <v>303</v>
          </cell>
          <cell r="AV31">
            <v>4</v>
          </cell>
          <cell r="AW31">
            <v>4</v>
          </cell>
          <cell r="AY31">
            <v>419</v>
          </cell>
          <cell r="AZ31">
            <v>396</v>
          </cell>
          <cell r="BB31">
            <v>502</v>
          </cell>
          <cell r="BC31">
            <v>241</v>
          </cell>
          <cell r="BE31">
            <v>0</v>
          </cell>
          <cell r="BF31">
            <v>0</v>
          </cell>
          <cell r="BH31">
            <v>102</v>
          </cell>
          <cell r="BI31">
            <v>75</v>
          </cell>
          <cell r="BK31">
            <v>112</v>
          </cell>
          <cell r="BL31">
            <v>74</v>
          </cell>
          <cell r="BN31">
            <v>86</v>
          </cell>
          <cell r="BO31">
            <v>51</v>
          </cell>
          <cell r="BQ31">
            <v>64</v>
          </cell>
          <cell r="BR31">
            <v>39</v>
          </cell>
          <cell r="BT31">
            <v>45</v>
          </cell>
          <cell r="BU31">
            <v>24</v>
          </cell>
          <cell r="BW31">
            <v>0</v>
          </cell>
          <cell r="BX31">
            <v>0</v>
          </cell>
          <cell r="BZ31">
            <v>759</v>
          </cell>
          <cell r="CA31">
            <v>727</v>
          </cell>
          <cell r="CC31">
            <v>79</v>
          </cell>
          <cell r="CD31">
            <v>79</v>
          </cell>
          <cell r="CF31">
            <v>88</v>
          </cell>
          <cell r="CG31">
            <v>88</v>
          </cell>
        </row>
        <row r="32">
          <cell r="H32">
            <v>653</v>
          </cell>
          <cell r="I32">
            <v>663</v>
          </cell>
          <cell r="K32">
            <v>0</v>
          </cell>
          <cell r="L32">
            <v>0</v>
          </cell>
          <cell r="N32">
            <v>645</v>
          </cell>
          <cell r="O32">
            <v>643</v>
          </cell>
          <cell r="Q32">
            <v>538</v>
          </cell>
          <cell r="R32">
            <v>416</v>
          </cell>
          <cell r="T32">
            <v>3396</v>
          </cell>
          <cell r="U32">
            <v>2417</v>
          </cell>
          <cell r="W32">
            <v>1584</v>
          </cell>
          <cell r="Y32">
            <v>756</v>
          </cell>
          <cell r="AA32">
            <v>357</v>
          </cell>
          <cell r="AB32">
            <v>349</v>
          </cell>
          <cell r="AD32">
            <v>507</v>
          </cell>
          <cell r="AE32">
            <v>68</v>
          </cell>
          <cell r="AJ32">
            <v>3267</v>
          </cell>
          <cell r="AK32">
            <v>2024</v>
          </cell>
          <cell r="AM32">
            <v>6</v>
          </cell>
          <cell r="AN32">
            <v>4</v>
          </cell>
          <cell r="AP32">
            <v>118</v>
          </cell>
          <cell r="AQ32">
            <v>47</v>
          </cell>
          <cell r="AS32">
            <v>173</v>
          </cell>
          <cell r="AT32">
            <v>84</v>
          </cell>
          <cell r="AV32">
            <v>5</v>
          </cell>
          <cell r="AW32">
            <v>2</v>
          </cell>
          <cell r="AY32">
            <v>111</v>
          </cell>
          <cell r="AZ32">
            <v>89</v>
          </cell>
          <cell r="BB32">
            <v>117</v>
          </cell>
          <cell r="BC32">
            <v>74</v>
          </cell>
          <cell r="BE32">
            <v>31</v>
          </cell>
          <cell r="BF32">
            <v>31</v>
          </cell>
          <cell r="BH32">
            <v>39</v>
          </cell>
          <cell r="BI32">
            <v>37</v>
          </cell>
          <cell r="BK32">
            <v>31</v>
          </cell>
          <cell r="BL32">
            <v>31</v>
          </cell>
          <cell r="BN32">
            <v>24</v>
          </cell>
          <cell r="BO32">
            <v>24</v>
          </cell>
          <cell r="BQ32">
            <v>14</v>
          </cell>
          <cell r="BR32">
            <v>14</v>
          </cell>
          <cell r="BT32">
            <v>10</v>
          </cell>
          <cell r="BU32">
            <v>7</v>
          </cell>
          <cell r="BW32">
            <v>0</v>
          </cell>
          <cell r="BX32">
            <v>0</v>
          </cell>
          <cell r="BZ32">
            <v>663</v>
          </cell>
          <cell r="CA32">
            <v>515</v>
          </cell>
          <cell r="CC32">
            <v>101</v>
          </cell>
          <cell r="CD32">
            <v>115</v>
          </cell>
          <cell r="CF32">
            <v>0</v>
          </cell>
          <cell r="CG32">
            <v>0</v>
          </cell>
        </row>
        <row r="33">
          <cell r="H33">
            <v>276</v>
          </cell>
          <cell r="I33">
            <v>305</v>
          </cell>
          <cell r="K33">
            <v>0</v>
          </cell>
          <cell r="L33">
            <v>0</v>
          </cell>
          <cell r="N33">
            <v>331</v>
          </cell>
          <cell r="O33">
            <v>331</v>
          </cell>
          <cell r="Q33">
            <v>233</v>
          </cell>
          <cell r="R33">
            <v>197</v>
          </cell>
          <cell r="T33">
            <v>1167</v>
          </cell>
          <cell r="U33">
            <v>851</v>
          </cell>
          <cell r="W33">
            <v>441</v>
          </cell>
          <cell r="Y33">
            <v>243</v>
          </cell>
          <cell r="AA33">
            <v>113</v>
          </cell>
          <cell r="AB33">
            <v>113</v>
          </cell>
          <cell r="AD33">
            <v>112</v>
          </cell>
          <cell r="AE33">
            <v>35</v>
          </cell>
          <cell r="AJ33">
            <v>2001</v>
          </cell>
          <cell r="AK33">
            <v>1525</v>
          </cell>
          <cell r="AM33">
            <v>0</v>
          </cell>
          <cell r="AN33">
            <v>0</v>
          </cell>
          <cell r="AP33">
            <v>59</v>
          </cell>
          <cell r="AQ33">
            <v>16</v>
          </cell>
          <cell r="AS33">
            <v>31</v>
          </cell>
          <cell r="AT33">
            <v>0</v>
          </cell>
          <cell r="AV33">
            <v>2</v>
          </cell>
          <cell r="AW33">
            <v>0</v>
          </cell>
          <cell r="AY33">
            <v>67</v>
          </cell>
          <cell r="AZ33">
            <v>0</v>
          </cell>
          <cell r="BB33">
            <v>561</v>
          </cell>
          <cell r="BC33">
            <v>73</v>
          </cell>
          <cell r="BE33">
            <v>17</v>
          </cell>
          <cell r="BF33">
            <v>17</v>
          </cell>
          <cell r="BH33">
            <v>24</v>
          </cell>
          <cell r="BI33">
            <v>24</v>
          </cell>
          <cell r="BK33">
            <v>28</v>
          </cell>
          <cell r="BL33">
            <v>28</v>
          </cell>
          <cell r="BN33">
            <v>21</v>
          </cell>
          <cell r="BO33">
            <v>21</v>
          </cell>
          <cell r="BQ33">
            <v>15</v>
          </cell>
          <cell r="BR33">
            <v>15</v>
          </cell>
          <cell r="BT33">
            <v>27</v>
          </cell>
          <cell r="BU33">
            <v>27</v>
          </cell>
          <cell r="BW33">
            <v>0</v>
          </cell>
          <cell r="BX33">
            <v>0</v>
          </cell>
          <cell r="BZ33">
            <v>305</v>
          </cell>
          <cell r="CA33">
            <v>291</v>
          </cell>
          <cell r="CC33">
            <v>10</v>
          </cell>
          <cell r="CD33">
            <v>13</v>
          </cell>
          <cell r="CF33">
            <v>7</v>
          </cell>
          <cell r="CG33">
            <v>7</v>
          </cell>
        </row>
        <row r="34">
          <cell r="H34">
            <v>207</v>
          </cell>
          <cell r="I34">
            <v>169</v>
          </cell>
          <cell r="K34">
            <v>1</v>
          </cell>
          <cell r="L34">
            <v>0</v>
          </cell>
          <cell r="N34">
            <v>309</v>
          </cell>
          <cell r="O34">
            <v>306</v>
          </cell>
          <cell r="Q34">
            <v>293</v>
          </cell>
          <cell r="R34">
            <v>243</v>
          </cell>
          <cell r="T34">
            <v>1934</v>
          </cell>
          <cell r="U34">
            <v>1579</v>
          </cell>
          <cell r="W34">
            <v>229</v>
          </cell>
          <cell r="Y34">
            <v>140</v>
          </cell>
          <cell r="AA34">
            <v>329</v>
          </cell>
          <cell r="AB34">
            <v>321</v>
          </cell>
          <cell r="AD34">
            <v>266</v>
          </cell>
          <cell r="AE34">
            <v>38</v>
          </cell>
          <cell r="AJ34">
            <v>1380</v>
          </cell>
          <cell r="AK34">
            <v>933</v>
          </cell>
          <cell r="AM34">
            <v>0</v>
          </cell>
          <cell r="AN34">
            <v>0</v>
          </cell>
          <cell r="AP34">
            <v>70</v>
          </cell>
          <cell r="AQ34">
            <v>56</v>
          </cell>
          <cell r="AS34">
            <v>53</v>
          </cell>
          <cell r="AT34">
            <v>36</v>
          </cell>
          <cell r="AV34">
            <v>0</v>
          </cell>
          <cell r="AW34">
            <v>0</v>
          </cell>
          <cell r="AY34">
            <v>10</v>
          </cell>
          <cell r="AZ34">
            <v>5</v>
          </cell>
          <cell r="BB34">
            <v>346</v>
          </cell>
          <cell r="BC34">
            <v>109</v>
          </cell>
          <cell r="BE34">
            <v>5</v>
          </cell>
          <cell r="BF34">
            <v>5</v>
          </cell>
          <cell r="BH34">
            <v>12</v>
          </cell>
          <cell r="BI34">
            <v>12</v>
          </cell>
          <cell r="BK34">
            <v>16</v>
          </cell>
          <cell r="BL34">
            <v>16</v>
          </cell>
          <cell r="BN34">
            <v>22</v>
          </cell>
          <cell r="BO34">
            <v>22</v>
          </cell>
          <cell r="BQ34">
            <v>18</v>
          </cell>
          <cell r="BR34">
            <v>18</v>
          </cell>
          <cell r="BT34">
            <v>18</v>
          </cell>
          <cell r="BU34">
            <v>18</v>
          </cell>
          <cell r="BW34">
            <v>1</v>
          </cell>
          <cell r="BX34">
            <v>1</v>
          </cell>
          <cell r="BZ34">
            <v>169</v>
          </cell>
          <cell r="CA34">
            <v>295</v>
          </cell>
          <cell r="CC34">
            <v>21</v>
          </cell>
          <cell r="CD34">
            <v>23</v>
          </cell>
          <cell r="CF34">
            <v>0</v>
          </cell>
          <cell r="CG34">
            <v>0</v>
          </cell>
        </row>
        <row r="35">
          <cell r="H35">
            <v>77</v>
          </cell>
          <cell r="I35">
            <v>311</v>
          </cell>
          <cell r="K35">
            <v>2</v>
          </cell>
          <cell r="L35">
            <v>1</v>
          </cell>
          <cell r="N35">
            <v>59</v>
          </cell>
          <cell r="O35">
            <v>59</v>
          </cell>
          <cell r="Q35">
            <v>20</v>
          </cell>
          <cell r="R35">
            <v>19</v>
          </cell>
          <cell r="T35">
            <v>273</v>
          </cell>
          <cell r="U35">
            <v>240</v>
          </cell>
          <cell r="W35">
            <v>201</v>
          </cell>
          <cell r="Y35">
            <v>164</v>
          </cell>
          <cell r="AA35">
            <v>0</v>
          </cell>
          <cell r="AB35">
            <v>0</v>
          </cell>
          <cell r="AD35">
            <v>0</v>
          </cell>
          <cell r="AE35">
            <v>0</v>
          </cell>
          <cell r="AJ35">
            <v>401</v>
          </cell>
          <cell r="AK35">
            <v>321</v>
          </cell>
          <cell r="AM35">
            <v>0</v>
          </cell>
          <cell r="AN35">
            <v>0</v>
          </cell>
          <cell r="AP35">
            <v>42</v>
          </cell>
          <cell r="AQ35">
            <v>18</v>
          </cell>
          <cell r="AS35">
            <v>26</v>
          </cell>
          <cell r="AT35">
            <v>13</v>
          </cell>
          <cell r="AV35">
            <v>1</v>
          </cell>
          <cell r="AW35">
            <v>1</v>
          </cell>
          <cell r="AY35">
            <v>34</v>
          </cell>
          <cell r="AZ35">
            <v>23</v>
          </cell>
          <cell r="BB35">
            <v>33</v>
          </cell>
          <cell r="BC35">
            <v>18</v>
          </cell>
          <cell r="BE35">
            <v>5</v>
          </cell>
          <cell r="BF35">
            <v>1</v>
          </cell>
          <cell r="BH35">
            <v>3</v>
          </cell>
          <cell r="BI35">
            <v>3</v>
          </cell>
          <cell r="BK35">
            <v>9</v>
          </cell>
          <cell r="BL35">
            <v>9</v>
          </cell>
          <cell r="BN35">
            <v>7</v>
          </cell>
          <cell r="BO35">
            <v>6</v>
          </cell>
          <cell r="BQ35">
            <v>4</v>
          </cell>
          <cell r="BR35">
            <v>3</v>
          </cell>
          <cell r="BT35">
            <v>11</v>
          </cell>
          <cell r="BU35">
            <v>10</v>
          </cell>
          <cell r="BW35">
            <v>1</v>
          </cell>
          <cell r="BX35">
            <v>1</v>
          </cell>
          <cell r="BZ35">
            <v>311</v>
          </cell>
          <cell r="CA35">
            <v>52</v>
          </cell>
          <cell r="CC35">
            <v>10</v>
          </cell>
          <cell r="CD35">
            <v>10</v>
          </cell>
          <cell r="CF35">
            <v>0</v>
          </cell>
          <cell r="CG35">
            <v>0</v>
          </cell>
        </row>
        <row r="36">
          <cell r="H36">
            <v>147</v>
          </cell>
          <cell r="I36">
            <v>147</v>
          </cell>
          <cell r="K36">
            <v>5</v>
          </cell>
          <cell r="L36">
            <v>3</v>
          </cell>
          <cell r="N36">
            <v>132</v>
          </cell>
          <cell r="O36">
            <v>132</v>
          </cell>
          <cell r="Q36">
            <v>104</v>
          </cell>
          <cell r="R36">
            <v>89</v>
          </cell>
          <cell r="T36">
            <v>765</v>
          </cell>
          <cell r="U36">
            <v>525</v>
          </cell>
          <cell r="W36">
            <v>331</v>
          </cell>
          <cell r="Y36">
            <v>238</v>
          </cell>
          <cell r="AA36">
            <v>159</v>
          </cell>
          <cell r="AB36">
            <v>159</v>
          </cell>
          <cell r="AD36">
            <v>98</v>
          </cell>
          <cell r="AE36">
            <v>6</v>
          </cell>
          <cell r="AJ36">
            <v>161</v>
          </cell>
          <cell r="AK36">
            <v>157</v>
          </cell>
          <cell r="AM36">
            <v>0</v>
          </cell>
          <cell r="AN36">
            <v>0</v>
          </cell>
          <cell r="AP36">
            <v>0</v>
          </cell>
          <cell r="AQ36">
            <v>0</v>
          </cell>
          <cell r="AS36">
            <v>4</v>
          </cell>
          <cell r="AT36">
            <v>4</v>
          </cell>
          <cell r="AV36">
            <v>0</v>
          </cell>
          <cell r="AW36">
            <v>0</v>
          </cell>
          <cell r="AY36">
            <v>1</v>
          </cell>
          <cell r="AZ36">
            <v>1</v>
          </cell>
          <cell r="BB36">
            <v>5</v>
          </cell>
          <cell r="BC36">
            <v>53</v>
          </cell>
          <cell r="BE36">
            <v>1</v>
          </cell>
          <cell r="BF36">
            <v>1</v>
          </cell>
          <cell r="BH36">
            <v>0</v>
          </cell>
          <cell r="BI36">
            <v>0</v>
          </cell>
          <cell r="BK36">
            <v>7</v>
          </cell>
          <cell r="BL36">
            <v>5</v>
          </cell>
          <cell r="BN36">
            <v>3</v>
          </cell>
          <cell r="BO36">
            <v>3</v>
          </cell>
          <cell r="BQ36">
            <v>0</v>
          </cell>
          <cell r="BR36">
            <v>0</v>
          </cell>
          <cell r="BT36">
            <v>0</v>
          </cell>
          <cell r="BU36">
            <v>0</v>
          </cell>
          <cell r="BW36">
            <v>0</v>
          </cell>
          <cell r="BX36">
            <v>0</v>
          </cell>
          <cell r="BZ36">
            <v>147</v>
          </cell>
          <cell r="CA36">
            <v>147</v>
          </cell>
          <cell r="CC36">
            <v>57</v>
          </cell>
          <cell r="CD36">
            <v>72</v>
          </cell>
          <cell r="CF36">
            <v>0</v>
          </cell>
          <cell r="CG36">
            <v>0</v>
          </cell>
        </row>
        <row r="37">
          <cell r="H37">
            <v>287</v>
          </cell>
          <cell r="I37">
            <v>286</v>
          </cell>
          <cell r="K37">
            <v>0</v>
          </cell>
          <cell r="L37">
            <v>0</v>
          </cell>
          <cell r="N37">
            <v>248</v>
          </cell>
          <cell r="O37">
            <v>244</v>
          </cell>
          <cell r="Q37">
            <v>190</v>
          </cell>
          <cell r="R37">
            <v>180</v>
          </cell>
          <cell r="T37">
            <v>1108</v>
          </cell>
          <cell r="U37">
            <v>678</v>
          </cell>
          <cell r="W37">
            <v>591</v>
          </cell>
          <cell r="Y37">
            <v>369</v>
          </cell>
          <cell r="AA37">
            <v>134</v>
          </cell>
          <cell r="AB37">
            <v>134</v>
          </cell>
          <cell r="AD37">
            <v>104</v>
          </cell>
          <cell r="AE37">
            <v>81</v>
          </cell>
          <cell r="AJ37">
            <v>187</v>
          </cell>
          <cell r="AK37">
            <v>136</v>
          </cell>
          <cell r="AM37">
            <v>0</v>
          </cell>
          <cell r="AN37">
            <v>0</v>
          </cell>
          <cell r="AP37">
            <v>139</v>
          </cell>
          <cell r="AQ37">
            <v>75</v>
          </cell>
          <cell r="AS37">
            <v>79</v>
          </cell>
          <cell r="AT37">
            <v>79</v>
          </cell>
          <cell r="AV37">
            <v>0</v>
          </cell>
          <cell r="AW37">
            <v>0</v>
          </cell>
          <cell r="AY37">
            <v>79</v>
          </cell>
          <cell r="AZ37">
            <v>79</v>
          </cell>
          <cell r="BB37">
            <v>0</v>
          </cell>
          <cell r="BC37">
            <v>75</v>
          </cell>
          <cell r="BE37">
            <v>0</v>
          </cell>
          <cell r="BF37">
            <v>0</v>
          </cell>
          <cell r="BH37">
            <v>3</v>
          </cell>
          <cell r="BI37">
            <v>2</v>
          </cell>
          <cell r="BK37">
            <v>10</v>
          </cell>
          <cell r="BL37">
            <v>10</v>
          </cell>
          <cell r="BN37">
            <v>14</v>
          </cell>
          <cell r="BO37">
            <v>12</v>
          </cell>
          <cell r="BQ37">
            <v>17</v>
          </cell>
          <cell r="BR37">
            <v>17</v>
          </cell>
          <cell r="BT37">
            <v>11</v>
          </cell>
          <cell r="BU37">
            <v>10</v>
          </cell>
          <cell r="BW37">
            <v>0</v>
          </cell>
          <cell r="BX37">
            <v>0</v>
          </cell>
          <cell r="BZ37">
            <v>286</v>
          </cell>
          <cell r="CA37">
            <v>286</v>
          </cell>
          <cell r="CC37">
            <v>54</v>
          </cell>
          <cell r="CD37">
            <v>54</v>
          </cell>
          <cell r="CF37">
            <v>0</v>
          </cell>
          <cell r="CG37">
            <v>0</v>
          </cell>
        </row>
        <row r="38">
          <cell r="H38">
            <v>140</v>
          </cell>
          <cell r="I38">
            <v>90</v>
          </cell>
          <cell r="K38">
            <v>4</v>
          </cell>
          <cell r="L38">
            <v>4</v>
          </cell>
          <cell r="N38">
            <v>116</v>
          </cell>
          <cell r="O38">
            <v>116</v>
          </cell>
          <cell r="Q38">
            <v>110</v>
          </cell>
          <cell r="R38">
            <v>98</v>
          </cell>
          <cell r="T38">
            <v>572</v>
          </cell>
          <cell r="U38">
            <v>467</v>
          </cell>
          <cell r="W38">
            <v>229</v>
          </cell>
          <cell r="Y38">
            <v>148</v>
          </cell>
          <cell r="AA38">
            <v>55</v>
          </cell>
          <cell r="AB38">
            <v>55</v>
          </cell>
          <cell r="AD38">
            <v>42</v>
          </cell>
          <cell r="AE38">
            <v>31</v>
          </cell>
          <cell r="AJ38">
            <v>47</v>
          </cell>
          <cell r="AK38">
            <v>46</v>
          </cell>
          <cell r="AM38">
            <v>0</v>
          </cell>
          <cell r="AN38">
            <v>0</v>
          </cell>
          <cell r="AP38">
            <v>0</v>
          </cell>
          <cell r="AQ38">
            <v>0</v>
          </cell>
          <cell r="AS38">
            <v>5</v>
          </cell>
          <cell r="AT38">
            <v>5</v>
          </cell>
          <cell r="AV38">
            <v>0</v>
          </cell>
          <cell r="AW38">
            <v>0</v>
          </cell>
          <cell r="AY38">
            <v>2</v>
          </cell>
          <cell r="AZ38">
            <v>2</v>
          </cell>
          <cell r="BB38">
            <v>1</v>
          </cell>
          <cell r="BC38">
            <v>1</v>
          </cell>
          <cell r="BE38">
            <v>0</v>
          </cell>
          <cell r="BF38">
            <v>0</v>
          </cell>
          <cell r="BH38">
            <v>2</v>
          </cell>
          <cell r="BI38">
            <v>2</v>
          </cell>
          <cell r="BK38">
            <v>0</v>
          </cell>
          <cell r="BL38">
            <v>0</v>
          </cell>
          <cell r="BN38">
            <v>0</v>
          </cell>
          <cell r="BO38">
            <v>0</v>
          </cell>
          <cell r="BQ38">
            <v>0</v>
          </cell>
          <cell r="BR38">
            <v>0</v>
          </cell>
          <cell r="BT38">
            <v>0</v>
          </cell>
          <cell r="BU38">
            <v>0</v>
          </cell>
          <cell r="BW38">
            <v>0</v>
          </cell>
          <cell r="BX38">
            <v>0</v>
          </cell>
          <cell r="BZ38">
            <v>90</v>
          </cell>
          <cell r="CA38">
            <v>90</v>
          </cell>
          <cell r="CC38">
            <v>10</v>
          </cell>
          <cell r="CD38">
            <v>10</v>
          </cell>
          <cell r="CF38">
            <v>0</v>
          </cell>
          <cell r="CG38">
            <v>0</v>
          </cell>
        </row>
        <row r="39">
          <cell r="H39">
            <v>785</v>
          </cell>
          <cell r="I39">
            <v>602</v>
          </cell>
          <cell r="K39">
            <v>12</v>
          </cell>
          <cell r="L39">
            <v>6</v>
          </cell>
          <cell r="N39">
            <v>709</v>
          </cell>
          <cell r="O39">
            <v>693</v>
          </cell>
          <cell r="Q39">
            <v>560</v>
          </cell>
          <cell r="R39">
            <v>443</v>
          </cell>
          <cell r="T39">
            <v>2802</v>
          </cell>
          <cell r="U39">
            <v>1979</v>
          </cell>
          <cell r="W39">
            <v>1256</v>
          </cell>
          <cell r="Y39">
            <v>728</v>
          </cell>
          <cell r="AA39">
            <v>85</v>
          </cell>
          <cell r="AB39">
            <v>85</v>
          </cell>
          <cell r="AD39">
            <v>111</v>
          </cell>
          <cell r="AE39">
            <v>48</v>
          </cell>
          <cell r="AJ39">
            <v>446</v>
          </cell>
          <cell r="AK39">
            <v>272</v>
          </cell>
          <cell r="AM39">
            <v>27</v>
          </cell>
          <cell r="AN39">
            <v>27</v>
          </cell>
          <cell r="AP39">
            <v>73</v>
          </cell>
          <cell r="AQ39">
            <v>10</v>
          </cell>
          <cell r="AS39">
            <v>72</v>
          </cell>
          <cell r="AT39">
            <v>40</v>
          </cell>
          <cell r="AV39">
            <v>0</v>
          </cell>
          <cell r="AW39">
            <v>0</v>
          </cell>
          <cell r="AY39">
            <v>72</v>
          </cell>
          <cell r="AZ39">
            <v>55</v>
          </cell>
          <cell r="BB39">
            <v>46</v>
          </cell>
          <cell r="BC39">
            <v>38</v>
          </cell>
          <cell r="BE39">
            <v>6</v>
          </cell>
          <cell r="BF39">
            <v>6</v>
          </cell>
          <cell r="BH39">
            <v>17</v>
          </cell>
          <cell r="BI39">
            <v>17</v>
          </cell>
          <cell r="BK39">
            <v>27</v>
          </cell>
          <cell r="BL39">
            <v>25</v>
          </cell>
          <cell r="BN39">
            <v>29</v>
          </cell>
          <cell r="BO39">
            <v>28</v>
          </cell>
          <cell r="BQ39">
            <v>15</v>
          </cell>
          <cell r="BR39">
            <v>13</v>
          </cell>
          <cell r="BT39">
            <v>3</v>
          </cell>
          <cell r="BU39">
            <v>3</v>
          </cell>
          <cell r="BW39">
            <v>0</v>
          </cell>
          <cell r="BX39">
            <v>0</v>
          </cell>
          <cell r="BZ39">
            <v>602</v>
          </cell>
          <cell r="CA39">
            <v>602</v>
          </cell>
          <cell r="CC39">
            <v>0</v>
          </cell>
          <cell r="CD39">
            <v>0</v>
          </cell>
          <cell r="CF39">
            <v>0</v>
          </cell>
          <cell r="CG39">
            <v>0</v>
          </cell>
        </row>
        <row r="40">
          <cell r="H40">
            <v>325</v>
          </cell>
          <cell r="I40">
            <v>183</v>
          </cell>
          <cell r="K40">
            <v>0</v>
          </cell>
          <cell r="L40">
            <v>0</v>
          </cell>
          <cell r="N40">
            <v>280</v>
          </cell>
          <cell r="O40">
            <v>280</v>
          </cell>
          <cell r="Q40">
            <v>172</v>
          </cell>
          <cell r="R40">
            <v>162</v>
          </cell>
          <cell r="T40">
            <v>2744</v>
          </cell>
          <cell r="U40">
            <v>2073</v>
          </cell>
          <cell r="W40">
            <v>1098</v>
          </cell>
          <cell r="Y40">
            <v>699</v>
          </cell>
          <cell r="AA40">
            <v>0</v>
          </cell>
          <cell r="AB40">
            <v>0</v>
          </cell>
          <cell r="AD40">
            <v>0</v>
          </cell>
          <cell r="AE40">
            <v>0</v>
          </cell>
          <cell r="AJ40">
            <v>687</v>
          </cell>
          <cell r="AK40">
            <v>563</v>
          </cell>
          <cell r="AM40">
            <v>2</v>
          </cell>
          <cell r="AN40">
            <v>1</v>
          </cell>
          <cell r="AP40">
            <v>540</v>
          </cell>
          <cell r="AQ40">
            <v>344</v>
          </cell>
          <cell r="AS40">
            <v>8</v>
          </cell>
          <cell r="AT40">
            <v>0</v>
          </cell>
          <cell r="AV40">
            <v>0</v>
          </cell>
          <cell r="AW40">
            <v>0</v>
          </cell>
          <cell r="AY40">
            <v>21</v>
          </cell>
          <cell r="AZ40">
            <v>0</v>
          </cell>
          <cell r="BB40">
            <v>5</v>
          </cell>
          <cell r="BC40">
            <v>5</v>
          </cell>
          <cell r="BE40">
            <v>0</v>
          </cell>
          <cell r="BF40">
            <v>0</v>
          </cell>
          <cell r="BH40">
            <v>0</v>
          </cell>
          <cell r="BI40">
            <v>0</v>
          </cell>
          <cell r="BK40">
            <v>0</v>
          </cell>
          <cell r="BL40">
            <v>0</v>
          </cell>
          <cell r="BN40">
            <v>0</v>
          </cell>
          <cell r="BO40">
            <v>0</v>
          </cell>
          <cell r="BQ40">
            <v>0</v>
          </cell>
          <cell r="BR40">
            <v>0</v>
          </cell>
          <cell r="BT40">
            <v>0</v>
          </cell>
          <cell r="BU40">
            <v>0</v>
          </cell>
          <cell r="BW40">
            <v>0</v>
          </cell>
          <cell r="BX40">
            <v>0</v>
          </cell>
          <cell r="BZ40">
            <v>183</v>
          </cell>
          <cell r="CA40">
            <v>183</v>
          </cell>
          <cell r="CC40">
            <v>0</v>
          </cell>
          <cell r="CD40">
            <v>0</v>
          </cell>
          <cell r="CF40">
            <v>0</v>
          </cell>
          <cell r="CG40">
            <v>0</v>
          </cell>
        </row>
        <row r="41">
          <cell r="H41">
            <v>232</v>
          </cell>
          <cell r="I41">
            <v>180</v>
          </cell>
          <cell r="K41">
            <v>9</v>
          </cell>
          <cell r="L41">
            <v>8</v>
          </cell>
          <cell r="N41">
            <v>253</v>
          </cell>
          <cell r="O41">
            <v>246</v>
          </cell>
          <cell r="Q41">
            <v>243</v>
          </cell>
          <cell r="R41">
            <v>192</v>
          </cell>
          <cell r="T41">
            <v>1398</v>
          </cell>
          <cell r="U41">
            <v>912</v>
          </cell>
          <cell r="W41">
            <v>863</v>
          </cell>
          <cell r="Y41">
            <v>428</v>
          </cell>
          <cell r="AA41">
            <v>164</v>
          </cell>
          <cell r="AB41">
            <v>164</v>
          </cell>
          <cell r="AD41">
            <v>104</v>
          </cell>
          <cell r="AE41">
            <v>1</v>
          </cell>
          <cell r="AJ41">
            <v>1820</v>
          </cell>
          <cell r="AK41">
            <v>868</v>
          </cell>
          <cell r="AM41">
            <v>7</v>
          </cell>
          <cell r="AN41">
            <v>7</v>
          </cell>
          <cell r="AP41">
            <v>86</v>
          </cell>
          <cell r="AQ41">
            <v>19</v>
          </cell>
          <cell r="AS41">
            <v>58</v>
          </cell>
          <cell r="AT41">
            <v>58</v>
          </cell>
          <cell r="AV41">
            <v>0</v>
          </cell>
          <cell r="AW41">
            <v>0</v>
          </cell>
          <cell r="AY41">
            <v>39</v>
          </cell>
          <cell r="AZ41">
            <v>39</v>
          </cell>
          <cell r="BB41">
            <v>0</v>
          </cell>
          <cell r="BC41">
            <v>8</v>
          </cell>
          <cell r="BE41">
            <v>1</v>
          </cell>
          <cell r="BF41">
            <v>1</v>
          </cell>
          <cell r="BH41">
            <v>5</v>
          </cell>
          <cell r="BI41">
            <v>4</v>
          </cell>
          <cell r="BK41">
            <v>1</v>
          </cell>
          <cell r="BL41">
            <v>2</v>
          </cell>
          <cell r="BN41">
            <v>0</v>
          </cell>
          <cell r="BO41">
            <v>0</v>
          </cell>
          <cell r="BQ41">
            <v>0</v>
          </cell>
          <cell r="BR41">
            <v>0</v>
          </cell>
          <cell r="BT41">
            <v>0</v>
          </cell>
          <cell r="BU41">
            <v>0</v>
          </cell>
          <cell r="BW41">
            <v>0</v>
          </cell>
          <cell r="BX41">
            <v>0</v>
          </cell>
          <cell r="BZ41">
            <v>180</v>
          </cell>
          <cell r="CA41">
            <v>180</v>
          </cell>
          <cell r="CC41">
            <v>7</v>
          </cell>
          <cell r="CD41">
            <v>49</v>
          </cell>
          <cell r="CF41">
            <v>4</v>
          </cell>
          <cell r="CG41">
            <v>4</v>
          </cell>
        </row>
        <row r="42">
          <cell r="H42">
            <v>333</v>
          </cell>
          <cell r="I42">
            <v>198</v>
          </cell>
          <cell r="K42">
            <v>0</v>
          </cell>
          <cell r="L42">
            <v>0</v>
          </cell>
          <cell r="N42">
            <v>324</v>
          </cell>
          <cell r="O42">
            <v>245</v>
          </cell>
          <cell r="Q42">
            <v>253</v>
          </cell>
          <cell r="R42">
            <v>215</v>
          </cell>
          <cell r="T42">
            <v>1181</v>
          </cell>
          <cell r="U42">
            <v>787</v>
          </cell>
          <cell r="W42">
            <v>919</v>
          </cell>
          <cell r="Y42">
            <v>517</v>
          </cell>
          <cell r="AA42">
            <v>240</v>
          </cell>
          <cell r="AB42">
            <v>48</v>
          </cell>
          <cell r="AD42">
            <v>9</v>
          </cell>
          <cell r="AE42">
            <v>0</v>
          </cell>
          <cell r="AJ42">
            <v>1546</v>
          </cell>
          <cell r="AK42">
            <v>703</v>
          </cell>
          <cell r="AM42">
            <v>4</v>
          </cell>
          <cell r="AN42">
            <v>2</v>
          </cell>
          <cell r="AP42">
            <v>503</v>
          </cell>
          <cell r="AQ42">
            <v>146</v>
          </cell>
          <cell r="AS42">
            <v>2</v>
          </cell>
          <cell r="AT42">
            <v>2</v>
          </cell>
          <cell r="AV42">
            <v>0</v>
          </cell>
          <cell r="AW42">
            <v>0</v>
          </cell>
          <cell r="AY42">
            <v>0</v>
          </cell>
          <cell r="AZ42">
            <v>0</v>
          </cell>
          <cell r="BB42">
            <v>1</v>
          </cell>
          <cell r="BC42">
            <v>15</v>
          </cell>
          <cell r="BE42">
            <v>5</v>
          </cell>
          <cell r="BF42">
            <v>5</v>
          </cell>
          <cell r="BH42">
            <v>0</v>
          </cell>
          <cell r="BI42">
            <v>0</v>
          </cell>
          <cell r="BK42">
            <v>0</v>
          </cell>
          <cell r="BL42">
            <v>0</v>
          </cell>
          <cell r="BN42">
            <v>0</v>
          </cell>
          <cell r="BO42">
            <v>0</v>
          </cell>
          <cell r="BQ42">
            <v>0</v>
          </cell>
          <cell r="BR42">
            <v>0</v>
          </cell>
          <cell r="BT42">
            <v>0</v>
          </cell>
          <cell r="BU42">
            <v>0</v>
          </cell>
          <cell r="BW42">
            <v>0</v>
          </cell>
          <cell r="BX42">
            <v>0</v>
          </cell>
          <cell r="BZ42">
            <v>198</v>
          </cell>
          <cell r="CA42">
            <v>198</v>
          </cell>
          <cell r="CC42">
            <v>51</v>
          </cell>
          <cell r="CD42">
            <v>24</v>
          </cell>
          <cell r="CF42">
            <v>0</v>
          </cell>
          <cell r="CG42">
            <v>0</v>
          </cell>
        </row>
        <row r="43">
          <cell r="H43">
            <v>200</v>
          </cell>
          <cell r="I43">
            <v>191</v>
          </cell>
          <cell r="K43">
            <v>11</v>
          </cell>
          <cell r="L43">
            <v>5</v>
          </cell>
          <cell r="N43">
            <v>217</v>
          </cell>
          <cell r="O43">
            <v>217</v>
          </cell>
          <cell r="Q43">
            <v>155</v>
          </cell>
          <cell r="R43">
            <v>127</v>
          </cell>
          <cell r="T43">
            <v>2526</v>
          </cell>
          <cell r="U43">
            <v>1743</v>
          </cell>
          <cell r="W43">
            <v>800</v>
          </cell>
          <cell r="Y43">
            <v>472</v>
          </cell>
          <cell r="AA43">
            <v>26</v>
          </cell>
          <cell r="AB43">
            <v>26</v>
          </cell>
          <cell r="AD43">
            <v>0</v>
          </cell>
          <cell r="AE43">
            <v>0</v>
          </cell>
          <cell r="AJ43">
            <v>3</v>
          </cell>
          <cell r="AK43">
            <v>3</v>
          </cell>
          <cell r="AM43">
            <v>0</v>
          </cell>
          <cell r="AN43">
            <v>0</v>
          </cell>
          <cell r="AP43">
            <v>125</v>
          </cell>
          <cell r="AQ43">
            <v>125</v>
          </cell>
          <cell r="AS43">
            <v>45</v>
          </cell>
          <cell r="AT43">
            <v>0</v>
          </cell>
          <cell r="AV43">
            <v>0</v>
          </cell>
          <cell r="AW43">
            <v>0</v>
          </cell>
          <cell r="AY43">
            <v>65</v>
          </cell>
          <cell r="AZ43">
            <v>0</v>
          </cell>
          <cell r="BB43">
            <v>18</v>
          </cell>
          <cell r="BC43">
            <v>21</v>
          </cell>
          <cell r="BE43">
            <v>0</v>
          </cell>
          <cell r="BF43">
            <v>0</v>
          </cell>
          <cell r="BH43">
            <v>2</v>
          </cell>
          <cell r="BI43">
            <v>2</v>
          </cell>
          <cell r="BK43">
            <v>0</v>
          </cell>
          <cell r="BL43">
            <v>0</v>
          </cell>
          <cell r="BN43">
            <v>2</v>
          </cell>
          <cell r="BO43">
            <v>2</v>
          </cell>
          <cell r="BQ43">
            <v>1</v>
          </cell>
          <cell r="BR43">
            <v>1</v>
          </cell>
          <cell r="BT43">
            <v>3</v>
          </cell>
          <cell r="BU43">
            <v>2</v>
          </cell>
          <cell r="BW43">
            <v>0</v>
          </cell>
          <cell r="BX43">
            <v>0</v>
          </cell>
          <cell r="BZ43">
            <v>191</v>
          </cell>
          <cell r="CA43">
            <v>191</v>
          </cell>
          <cell r="CC43">
            <v>72</v>
          </cell>
          <cell r="CD43">
            <v>72</v>
          </cell>
          <cell r="CF43">
            <v>0</v>
          </cell>
          <cell r="CG43">
            <v>0</v>
          </cell>
        </row>
        <row r="44">
          <cell r="H44">
            <v>205</v>
          </cell>
          <cell r="I44">
            <v>193</v>
          </cell>
          <cell r="K44">
            <v>1</v>
          </cell>
          <cell r="L44">
            <v>1</v>
          </cell>
          <cell r="N44">
            <v>174</v>
          </cell>
          <cell r="O44">
            <v>174</v>
          </cell>
          <cell r="Q44">
            <v>113</v>
          </cell>
          <cell r="R44">
            <v>109</v>
          </cell>
          <cell r="T44">
            <v>922</v>
          </cell>
          <cell r="U44">
            <v>833</v>
          </cell>
          <cell r="W44">
            <v>137</v>
          </cell>
          <cell r="Y44">
            <v>95</v>
          </cell>
          <cell r="AA44">
            <v>224</v>
          </cell>
          <cell r="AB44">
            <v>224</v>
          </cell>
          <cell r="AD44">
            <v>73</v>
          </cell>
          <cell r="AE44">
            <v>4</v>
          </cell>
          <cell r="AJ44">
            <v>802</v>
          </cell>
          <cell r="AK44">
            <v>596</v>
          </cell>
          <cell r="AM44">
            <v>10</v>
          </cell>
          <cell r="AN44">
            <v>9</v>
          </cell>
          <cell r="AP44">
            <v>367</v>
          </cell>
          <cell r="AQ44">
            <v>145</v>
          </cell>
          <cell r="AS44">
            <v>18</v>
          </cell>
          <cell r="AT44">
            <v>10</v>
          </cell>
          <cell r="AV44">
            <v>0</v>
          </cell>
          <cell r="AW44">
            <v>0</v>
          </cell>
          <cell r="AY44">
            <v>17</v>
          </cell>
          <cell r="AZ44">
            <v>8</v>
          </cell>
          <cell r="BB44">
            <v>0</v>
          </cell>
          <cell r="BC44">
            <v>97</v>
          </cell>
          <cell r="BE44">
            <v>0</v>
          </cell>
          <cell r="BF44">
            <v>0</v>
          </cell>
          <cell r="BH44">
            <v>9</v>
          </cell>
          <cell r="BI44">
            <v>9</v>
          </cell>
          <cell r="BK44">
            <v>9</v>
          </cell>
          <cell r="BL44">
            <v>9</v>
          </cell>
          <cell r="BN44">
            <v>1</v>
          </cell>
          <cell r="BO44">
            <v>1</v>
          </cell>
          <cell r="BQ44">
            <v>0</v>
          </cell>
          <cell r="BR44">
            <v>0</v>
          </cell>
          <cell r="BT44">
            <v>0</v>
          </cell>
          <cell r="BU44">
            <v>0</v>
          </cell>
          <cell r="BW44">
            <v>0</v>
          </cell>
          <cell r="BX44">
            <v>0</v>
          </cell>
          <cell r="BZ44">
            <v>193</v>
          </cell>
          <cell r="CA44">
            <v>193</v>
          </cell>
          <cell r="CC44">
            <v>126</v>
          </cell>
          <cell r="CD44">
            <v>126</v>
          </cell>
          <cell r="CF44">
            <v>0</v>
          </cell>
          <cell r="CG44">
            <v>0</v>
          </cell>
        </row>
        <row r="45">
          <cell r="H45">
            <v>104</v>
          </cell>
          <cell r="I45">
            <v>95</v>
          </cell>
          <cell r="K45">
            <v>0</v>
          </cell>
          <cell r="L45">
            <v>0</v>
          </cell>
          <cell r="N45">
            <v>104</v>
          </cell>
          <cell r="O45">
            <v>101</v>
          </cell>
          <cell r="Q45">
            <v>73</v>
          </cell>
          <cell r="R45">
            <v>68</v>
          </cell>
          <cell r="T45">
            <v>838</v>
          </cell>
          <cell r="U45">
            <v>657</v>
          </cell>
          <cell r="W45">
            <v>374</v>
          </cell>
          <cell r="Y45">
            <v>249</v>
          </cell>
          <cell r="AA45">
            <v>0</v>
          </cell>
          <cell r="AB45">
            <v>0</v>
          </cell>
          <cell r="AD45">
            <v>5</v>
          </cell>
          <cell r="AE45">
            <v>0</v>
          </cell>
          <cell r="AJ45">
            <v>230</v>
          </cell>
          <cell r="AK45">
            <v>230</v>
          </cell>
          <cell r="AM45">
            <v>0</v>
          </cell>
          <cell r="AN45">
            <v>0</v>
          </cell>
          <cell r="AP45">
            <v>111</v>
          </cell>
          <cell r="AQ45">
            <v>87</v>
          </cell>
          <cell r="AS45">
            <v>4</v>
          </cell>
          <cell r="AT45">
            <v>4</v>
          </cell>
          <cell r="AV45">
            <v>0</v>
          </cell>
          <cell r="AW45">
            <v>0</v>
          </cell>
          <cell r="AY45">
            <v>4</v>
          </cell>
          <cell r="AZ45">
            <v>4</v>
          </cell>
          <cell r="BB45">
            <v>0</v>
          </cell>
          <cell r="BC45">
            <v>87</v>
          </cell>
          <cell r="BE45">
            <v>0</v>
          </cell>
          <cell r="BF45">
            <v>0</v>
          </cell>
          <cell r="BH45">
            <v>0</v>
          </cell>
          <cell r="BI45">
            <v>0</v>
          </cell>
          <cell r="BK45">
            <v>0</v>
          </cell>
          <cell r="BL45">
            <v>0</v>
          </cell>
          <cell r="BN45">
            <v>0</v>
          </cell>
          <cell r="BO45">
            <v>0</v>
          </cell>
          <cell r="BQ45">
            <v>0</v>
          </cell>
          <cell r="BR45">
            <v>0</v>
          </cell>
          <cell r="BT45">
            <v>0</v>
          </cell>
          <cell r="BU45">
            <v>0</v>
          </cell>
          <cell r="BW45">
            <v>0</v>
          </cell>
          <cell r="BX45">
            <v>0</v>
          </cell>
          <cell r="BZ45">
            <v>95</v>
          </cell>
          <cell r="CA45">
            <v>95</v>
          </cell>
          <cell r="CC45">
            <v>7</v>
          </cell>
          <cell r="CD45">
            <v>7</v>
          </cell>
          <cell r="CF45">
            <v>0</v>
          </cell>
          <cell r="CG45">
            <v>0</v>
          </cell>
        </row>
        <row r="46">
          <cell r="H46">
            <v>140</v>
          </cell>
          <cell r="I46">
            <v>138</v>
          </cell>
          <cell r="K46">
            <v>0</v>
          </cell>
          <cell r="L46">
            <v>0</v>
          </cell>
          <cell r="N46">
            <v>140</v>
          </cell>
          <cell r="O46">
            <v>140</v>
          </cell>
          <cell r="Q46">
            <v>130</v>
          </cell>
          <cell r="R46">
            <v>123</v>
          </cell>
          <cell r="T46">
            <v>1114</v>
          </cell>
          <cell r="U46">
            <v>992</v>
          </cell>
          <cell r="W46">
            <v>179</v>
          </cell>
          <cell r="Y46">
            <v>118</v>
          </cell>
          <cell r="AA46">
            <v>0</v>
          </cell>
          <cell r="AB46">
            <v>0</v>
          </cell>
          <cell r="AD46">
            <v>0</v>
          </cell>
          <cell r="AE46">
            <v>0</v>
          </cell>
          <cell r="AJ46">
            <v>812</v>
          </cell>
          <cell r="AK46">
            <v>670</v>
          </cell>
          <cell r="AM46">
            <v>3</v>
          </cell>
          <cell r="AN46">
            <v>3</v>
          </cell>
          <cell r="AP46">
            <v>87</v>
          </cell>
          <cell r="AQ46">
            <v>77</v>
          </cell>
          <cell r="AS46">
            <v>0</v>
          </cell>
          <cell r="AT46">
            <v>0</v>
          </cell>
          <cell r="AV46">
            <v>0</v>
          </cell>
          <cell r="AW46">
            <v>0</v>
          </cell>
          <cell r="AY46">
            <v>22</v>
          </cell>
          <cell r="AZ46">
            <v>0</v>
          </cell>
          <cell r="BB46">
            <v>62</v>
          </cell>
          <cell r="BC46">
            <v>124</v>
          </cell>
          <cell r="BE46">
            <v>0</v>
          </cell>
          <cell r="BF46">
            <v>0</v>
          </cell>
          <cell r="BH46">
            <v>5</v>
          </cell>
          <cell r="BI46">
            <v>5</v>
          </cell>
          <cell r="BK46">
            <v>0</v>
          </cell>
          <cell r="BL46">
            <v>0</v>
          </cell>
          <cell r="BN46">
            <v>2</v>
          </cell>
          <cell r="BO46">
            <v>2</v>
          </cell>
          <cell r="BQ46">
            <v>5</v>
          </cell>
          <cell r="BR46">
            <v>5</v>
          </cell>
          <cell r="BT46">
            <v>8</v>
          </cell>
          <cell r="BU46">
            <v>7</v>
          </cell>
          <cell r="BW46">
            <v>0</v>
          </cell>
          <cell r="BX46">
            <v>0</v>
          </cell>
          <cell r="BZ46">
            <v>138</v>
          </cell>
          <cell r="CA46">
            <v>138</v>
          </cell>
          <cell r="CC46">
            <v>0</v>
          </cell>
          <cell r="CD46">
            <v>0</v>
          </cell>
          <cell r="CF46">
            <v>0</v>
          </cell>
          <cell r="CG46">
            <v>0</v>
          </cell>
        </row>
        <row r="47">
          <cell r="H47">
            <v>76</v>
          </cell>
          <cell r="I47">
            <v>69</v>
          </cell>
          <cell r="K47">
            <v>0</v>
          </cell>
          <cell r="L47">
            <v>0</v>
          </cell>
          <cell r="N47">
            <v>69</v>
          </cell>
          <cell r="O47">
            <v>66</v>
          </cell>
          <cell r="Q47">
            <v>74</v>
          </cell>
          <cell r="R47">
            <v>67</v>
          </cell>
          <cell r="T47">
            <v>1128</v>
          </cell>
          <cell r="U47">
            <v>954</v>
          </cell>
          <cell r="W47">
            <v>333</v>
          </cell>
          <cell r="Y47">
            <v>181</v>
          </cell>
          <cell r="AA47">
            <v>0</v>
          </cell>
          <cell r="AB47">
            <v>0</v>
          </cell>
          <cell r="AD47">
            <v>0</v>
          </cell>
          <cell r="AE47">
            <v>0</v>
          </cell>
          <cell r="AJ47">
            <v>178</v>
          </cell>
          <cell r="AK47">
            <v>107</v>
          </cell>
          <cell r="AM47">
            <v>0</v>
          </cell>
          <cell r="AN47">
            <v>0</v>
          </cell>
          <cell r="AP47">
            <v>74</v>
          </cell>
          <cell r="AQ47">
            <v>47</v>
          </cell>
          <cell r="AS47">
            <v>6</v>
          </cell>
          <cell r="AT47">
            <v>6</v>
          </cell>
          <cell r="AV47">
            <v>0</v>
          </cell>
          <cell r="AW47">
            <v>0</v>
          </cell>
          <cell r="AY47">
            <v>14</v>
          </cell>
          <cell r="AZ47">
            <v>14</v>
          </cell>
          <cell r="BB47">
            <v>0</v>
          </cell>
          <cell r="BC47">
            <v>25</v>
          </cell>
          <cell r="BE47">
            <v>0</v>
          </cell>
          <cell r="BF47">
            <v>0</v>
          </cell>
          <cell r="BH47">
            <v>0</v>
          </cell>
          <cell r="BI47">
            <v>0</v>
          </cell>
          <cell r="BK47">
            <v>0</v>
          </cell>
          <cell r="BL47">
            <v>0</v>
          </cell>
          <cell r="BN47">
            <v>0</v>
          </cell>
          <cell r="BO47">
            <v>0</v>
          </cell>
          <cell r="BQ47">
            <v>0</v>
          </cell>
          <cell r="BR47">
            <v>0</v>
          </cell>
          <cell r="BT47">
            <v>0</v>
          </cell>
          <cell r="BU47">
            <v>0</v>
          </cell>
          <cell r="BW47">
            <v>0</v>
          </cell>
          <cell r="BX47">
            <v>0</v>
          </cell>
          <cell r="BZ47">
            <v>69</v>
          </cell>
          <cell r="CA47">
            <v>69</v>
          </cell>
          <cell r="CC47">
            <v>5</v>
          </cell>
          <cell r="CD47">
            <v>5</v>
          </cell>
          <cell r="CF47">
            <v>0</v>
          </cell>
          <cell r="CG47">
            <v>0</v>
          </cell>
        </row>
        <row r="48">
          <cell r="H48">
            <v>108</v>
          </cell>
          <cell r="I48">
            <v>107</v>
          </cell>
          <cell r="K48">
            <v>32</v>
          </cell>
          <cell r="L48">
            <v>0</v>
          </cell>
          <cell r="N48">
            <v>108</v>
          </cell>
          <cell r="O48">
            <v>108</v>
          </cell>
          <cell r="Q48">
            <v>105</v>
          </cell>
          <cell r="R48">
            <v>102</v>
          </cell>
          <cell r="T48">
            <v>375</v>
          </cell>
          <cell r="U48">
            <v>205</v>
          </cell>
          <cell r="W48">
            <v>230</v>
          </cell>
          <cell r="Y48">
            <v>168</v>
          </cell>
          <cell r="AA48">
            <v>44</v>
          </cell>
          <cell r="AB48">
            <v>44</v>
          </cell>
          <cell r="AD48">
            <v>37</v>
          </cell>
          <cell r="AE48">
            <v>0</v>
          </cell>
          <cell r="AJ48">
            <v>113</v>
          </cell>
          <cell r="AK48">
            <v>66</v>
          </cell>
          <cell r="AM48">
            <v>0</v>
          </cell>
          <cell r="AN48">
            <v>0</v>
          </cell>
          <cell r="AP48">
            <v>61</v>
          </cell>
          <cell r="AQ48">
            <v>12</v>
          </cell>
          <cell r="AS48">
            <v>34</v>
          </cell>
          <cell r="AT48">
            <v>24</v>
          </cell>
          <cell r="AV48">
            <v>0</v>
          </cell>
          <cell r="AW48">
            <v>0</v>
          </cell>
          <cell r="AY48">
            <v>23</v>
          </cell>
          <cell r="AZ48">
            <v>17</v>
          </cell>
          <cell r="BB48">
            <v>0</v>
          </cell>
          <cell r="BC48">
            <v>0</v>
          </cell>
          <cell r="BE48">
            <v>0</v>
          </cell>
          <cell r="BF48">
            <v>0</v>
          </cell>
          <cell r="BH48">
            <v>2</v>
          </cell>
          <cell r="BI48">
            <v>2</v>
          </cell>
          <cell r="BK48">
            <v>0</v>
          </cell>
          <cell r="BL48">
            <v>0</v>
          </cell>
          <cell r="BN48">
            <v>0</v>
          </cell>
          <cell r="BO48">
            <v>0</v>
          </cell>
          <cell r="BQ48">
            <v>0</v>
          </cell>
          <cell r="BR48">
            <v>0</v>
          </cell>
          <cell r="BT48">
            <v>0</v>
          </cell>
          <cell r="BU48">
            <v>0</v>
          </cell>
          <cell r="BW48">
            <v>0</v>
          </cell>
          <cell r="BX48">
            <v>0</v>
          </cell>
          <cell r="BZ48">
            <v>107</v>
          </cell>
          <cell r="CA48">
            <v>107</v>
          </cell>
          <cell r="CC48">
            <v>1</v>
          </cell>
          <cell r="CD48">
            <v>1</v>
          </cell>
          <cell r="CF48">
            <v>0</v>
          </cell>
          <cell r="CG48">
            <v>0</v>
          </cell>
        </row>
        <row r="49">
          <cell r="H49">
            <v>74</v>
          </cell>
          <cell r="I49">
            <v>73</v>
          </cell>
          <cell r="K49">
            <v>1</v>
          </cell>
          <cell r="L49">
            <v>0</v>
          </cell>
          <cell r="N49">
            <v>63</v>
          </cell>
          <cell r="O49">
            <v>63</v>
          </cell>
          <cell r="Q49">
            <v>46</v>
          </cell>
          <cell r="R49">
            <v>42</v>
          </cell>
          <cell r="T49">
            <v>255</v>
          </cell>
          <cell r="U49">
            <v>191</v>
          </cell>
          <cell r="W49">
            <v>79</v>
          </cell>
          <cell r="Y49">
            <v>49</v>
          </cell>
          <cell r="AA49">
            <v>59</v>
          </cell>
          <cell r="AB49">
            <v>59</v>
          </cell>
          <cell r="AD49">
            <v>44</v>
          </cell>
          <cell r="AE49">
            <v>0</v>
          </cell>
          <cell r="AJ49">
            <v>357</v>
          </cell>
          <cell r="AK49">
            <v>266</v>
          </cell>
          <cell r="AM49">
            <v>0</v>
          </cell>
          <cell r="AN49">
            <v>0</v>
          </cell>
          <cell r="AP49">
            <v>24</v>
          </cell>
          <cell r="AQ49">
            <v>0</v>
          </cell>
          <cell r="AS49">
            <v>3</v>
          </cell>
          <cell r="AT49">
            <v>0</v>
          </cell>
          <cell r="AV49">
            <v>0</v>
          </cell>
          <cell r="AW49">
            <v>0</v>
          </cell>
          <cell r="AY49">
            <v>8</v>
          </cell>
          <cell r="AZ49">
            <v>0</v>
          </cell>
          <cell r="BB49">
            <v>0</v>
          </cell>
          <cell r="BC49">
            <v>4</v>
          </cell>
          <cell r="BE49">
            <v>0</v>
          </cell>
          <cell r="BF49">
            <v>0</v>
          </cell>
          <cell r="BH49">
            <v>0</v>
          </cell>
          <cell r="BI49">
            <v>0</v>
          </cell>
          <cell r="BK49">
            <v>0</v>
          </cell>
          <cell r="BL49">
            <v>0</v>
          </cell>
          <cell r="BN49">
            <v>0</v>
          </cell>
          <cell r="BO49">
            <v>0</v>
          </cell>
          <cell r="BQ49">
            <v>0</v>
          </cell>
          <cell r="BR49">
            <v>0</v>
          </cell>
          <cell r="BT49">
            <v>0</v>
          </cell>
          <cell r="BU49">
            <v>0</v>
          </cell>
          <cell r="BW49">
            <v>0</v>
          </cell>
          <cell r="BX49">
            <v>0</v>
          </cell>
          <cell r="BZ49">
            <v>73</v>
          </cell>
          <cell r="CA49">
            <v>73</v>
          </cell>
          <cell r="CC49">
            <v>2</v>
          </cell>
          <cell r="CD49">
            <v>6</v>
          </cell>
          <cell r="CF49">
            <v>0</v>
          </cell>
          <cell r="CG49">
            <v>0</v>
          </cell>
        </row>
        <row r="50">
          <cell r="H50">
            <v>223</v>
          </cell>
          <cell r="I50">
            <v>210</v>
          </cell>
          <cell r="K50">
            <v>14</v>
          </cell>
          <cell r="L50">
            <v>14</v>
          </cell>
          <cell r="N50">
            <v>203</v>
          </cell>
          <cell r="O50">
            <v>203</v>
          </cell>
          <cell r="Q50">
            <v>153</v>
          </cell>
          <cell r="R50">
            <v>140</v>
          </cell>
          <cell r="T50">
            <v>2087</v>
          </cell>
          <cell r="U50">
            <v>1769</v>
          </cell>
          <cell r="W50">
            <v>726</v>
          </cell>
          <cell r="Y50">
            <v>551</v>
          </cell>
          <cell r="AA50">
            <v>183</v>
          </cell>
          <cell r="AB50">
            <v>183</v>
          </cell>
          <cell r="AD50">
            <v>30</v>
          </cell>
          <cell r="AE50">
            <v>0</v>
          </cell>
          <cell r="AJ50">
            <v>835</v>
          </cell>
          <cell r="AK50">
            <v>473</v>
          </cell>
          <cell r="AM50">
            <v>0</v>
          </cell>
          <cell r="AN50">
            <v>0</v>
          </cell>
          <cell r="AP50">
            <v>135</v>
          </cell>
          <cell r="AQ50">
            <v>72</v>
          </cell>
          <cell r="AS50">
            <v>4</v>
          </cell>
          <cell r="AT50">
            <v>1</v>
          </cell>
          <cell r="AV50">
            <v>0</v>
          </cell>
          <cell r="AW50">
            <v>0</v>
          </cell>
          <cell r="AY50">
            <v>45</v>
          </cell>
          <cell r="AZ50">
            <v>16</v>
          </cell>
          <cell r="BB50">
            <v>0</v>
          </cell>
          <cell r="BC50">
            <v>0</v>
          </cell>
          <cell r="BE50">
            <v>0</v>
          </cell>
          <cell r="BF50">
            <v>0</v>
          </cell>
          <cell r="BH50">
            <v>2</v>
          </cell>
          <cell r="BI50">
            <v>1</v>
          </cell>
          <cell r="BK50">
            <v>0</v>
          </cell>
          <cell r="BL50">
            <v>0</v>
          </cell>
          <cell r="BN50">
            <v>0</v>
          </cell>
          <cell r="BO50">
            <v>0</v>
          </cell>
          <cell r="BQ50">
            <v>0</v>
          </cell>
          <cell r="BR50">
            <v>0</v>
          </cell>
          <cell r="BT50">
            <v>0</v>
          </cell>
          <cell r="BU50">
            <v>0</v>
          </cell>
          <cell r="BW50">
            <v>0</v>
          </cell>
          <cell r="BX50">
            <v>0</v>
          </cell>
          <cell r="BZ50">
            <v>210</v>
          </cell>
          <cell r="CA50">
            <v>210</v>
          </cell>
          <cell r="CC50">
            <v>12</v>
          </cell>
          <cell r="CD50">
            <v>12</v>
          </cell>
          <cell r="CF50">
            <v>0</v>
          </cell>
          <cell r="CG50">
            <v>0</v>
          </cell>
        </row>
        <row r="51">
          <cell r="H51">
            <v>86</v>
          </cell>
          <cell r="I51">
            <v>79</v>
          </cell>
          <cell r="K51">
            <v>0</v>
          </cell>
          <cell r="L51">
            <v>0</v>
          </cell>
          <cell r="N51">
            <v>72</v>
          </cell>
          <cell r="O51">
            <v>64</v>
          </cell>
          <cell r="Q51">
            <v>75</v>
          </cell>
          <cell r="R51">
            <v>69</v>
          </cell>
          <cell r="T51">
            <v>464</v>
          </cell>
          <cell r="U51">
            <v>330</v>
          </cell>
          <cell r="W51">
            <v>206</v>
          </cell>
          <cell r="Y51">
            <v>112</v>
          </cell>
          <cell r="AA51">
            <v>300</v>
          </cell>
          <cell r="AB51">
            <v>300</v>
          </cell>
          <cell r="AD51">
            <v>25</v>
          </cell>
          <cell r="AE51">
            <v>0</v>
          </cell>
          <cell r="AJ51">
            <v>882</v>
          </cell>
          <cell r="AK51">
            <v>427</v>
          </cell>
          <cell r="AM51">
            <v>5</v>
          </cell>
          <cell r="AN51">
            <v>4</v>
          </cell>
          <cell r="AP51">
            <v>77</v>
          </cell>
          <cell r="AQ51">
            <v>31</v>
          </cell>
          <cell r="AS51">
            <v>6</v>
          </cell>
          <cell r="AT51">
            <v>0</v>
          </cell>
          <cell r="AV51">
            <v>0</v>
          </cell>
          <cell r="AW51">
            <v>0</v>
          </cell>
          <cell r="AY51">
            <v>2</v>
          </cell>
          <cell r="AZ51">
            <v>0</v>
          </cell>
          <cell r="BB51">
            <v>0</v>
          </cell>
          <cell r="BC51">
            <v>13</v>
          </cell>
          <cell r="BE51">
            <v>3</v>
          </cell>
          <cell r="BF51">
            <v>0</v>
          </cell>
          <cell r="BH51">
            <v>4</v>
          </cell>
          <cell r="BI51">
            <v>4</v>
          </cell>
          <cell r="BK51">
            <v>0</v>
          </cell>
          <cell r="BL51">
            <v>0</v>
          </cell>
          <cell r="BN51">
            <v>1</v>
          </cell>
          <cell r="BO51">
            <v>0</v>
          </cell>
          <cell r="BQ51">
            <v>0</v>
          </cell>
          <cell r="BR51">
            <v>0</v>
          </cell>
          <cell r="BT51">
            <v>0</v>
          </cell>
          <cell r="BU51">
            <v>0</v>
          </cell>
          <cell r="BW51">
            <v>0</v>
          </cell>
          <cell r="BX51">
            <v>0</v>
          </cell>
          <cell r="BZ51">
            <v>79</v>
          </cell>
          <cell r="CA51">
            <v>79</v>
          </cell>
          <cell r="CC51">
            <v>0</v>
          </cell>
          <cell r="CD51">
            <v>4</v>
          </cell>
          <cell r="CF51">
            <v>300</v>
          </cell>
          <cell r="CG51">
            <v>236</v>
          </cell>
        </row>
        <row r="52">
          <cell r="H52">
            <v>388</v>
          </cell>
          <cell r="I52">
            <v>386</v>
          </cell>
          <cell r="K52">
            <v>3</v>
          </cell>
          <cell r="L52">
            <v>3</v>
          </cell>
          <cell r="N52">
            <v>306</v>
          </cell>
          <cell r="O52">
            <v>306</v>
          </cell>
          <cell r="Q52">
            <v>187</v>
          </cell>
          <cell r="R52">
            <v>167</v>
          </cell>
          <cell r="T52">
            <v>809</v>
          </cell>
          <cell r="U52">
            <v>585</v>
          </cell>
          <cell r="W52">
            <v>407</v>
          </cell>
          <cell r="Y52">
            <v>292</v>
          </cell>
          <cell r="AA52">
            <v>0</v>
          </cell>
          <cell r="AB52">
            <v>0</v>
          </cell>
          <cell r="AD52">
            <v>36</v>
          </cell>
          <cell r="AE52">
            <v>3</v>
          </cell>
          <cell r="AJ52">
            <v>160</v>
          </cell>
          <cell r="AK52">
            <v>91</v>
          </cell>
          <cell r="AM52">
            <v>0</v>
          </cell>
          <cell r="AN52">
            <v>0</v>
          </cell>
          <cell r="AP52">
            <v>45</v>
          </cell>
          <cell r="AQ52">
            <v>10</v>
          </cell>
          <cell r="AS52">
            <v>16</v>
          </cell>
          <cell r="AT52">
            <v>9</v>
          </cell>
          <cell r="AV52">
            <v>0</v>
          </cell>
          <cell r="AW52">
            <v>0</v>
          </cell>
          <cell r="AY52">
            <v>15</v>
          </cell>
          <cell r="AZ52">
            <v>3</v>
          </cell>
          <cell r="BB52">
            <v>1</v>
          </cell>
          <cell r="BC52">
            <v>2</v>
          </cell>
          <cell r="BE52">
            <v>7</v>
          </cell>
          <cell r="BF52">
            <v>7</v>
          </cell>
          <cell r="BH52">
            <v>0</v>
          </cell>
          <cell r="BI52">
            <v>0</v>
          </cell>
          <cell r="BK52">
            <v>8</v>
          </cell>
          <cell r="BL52">
            <v>2</v>
          </cell>
          <cell r="BN52">
            <v>7</v>
          </cell>
          <cell r="BO52">
            <v>9</v>
          </cell>
          <cell r="BQ52">
            <v>9</v>
          </cell>
          <cell r="BR52">
            <v>7</v>
          </cell>
          <cell r="BT52">
            <v>7</v>
          </cell>
          <cell r="BU52">
            <v>6</v>
          </cell>
          <cell r="BW52">
            <v>0</v>
          </cell>
          <cell r="BX52">
            <v>0</v>
          </cell>
          <cell r="BZ52">
            <v>386</v>
          </cell>
          <cell r="CA52">
            <v>386</v>
          </cell>
          <cell r="CC52">
            <v>83</v>
          </cell>
          <cell r="CD52">
            <v>79</v>
          </cell>
          <cell r="CF52">
            <v>0</v>
          </cell>
          <cell r="CG52">
            <v>0</v>
          </cell>
        </row>
        <row r="53">
          <cell r="H53">
            <v>34</v>
          </cell>
          <cell r="I53">
            <v>38</v>
          </cell>
          <cell r="K53">
            <v>5</v>
          </cell>
          <cell r="L53">
            <v>1</v>
          </cell>
          <cell r="N53">
            <v>34</v>
          </cell>
          <cell r="O53">
            <v>34</v>
          </cell>
          <cell r="Q53">
            <v>35</v>
          </cell>
          <cell r="R53">
            <v>34</v>
          </cell>
          <cell r="T53">
            <v>17</v>
          </cell>
          <cell r="U53">
            <v>16</v>
          </cell>
          <cell r="W53">
            <v>12</v>
          </cell>
          <cell r="Y53">
            <v>9</v>
          </cell>
          <cell r="AA53">
            <v>38</v>
          </cell>
          <cell r="AB53">
            <v>38</v>
          </cell>
          <cell r="AD53">
            <v>20</v>
          </cell>
          <cell r="AE53">
            <v>17</v>
          </cell>
          <cell r="AJ53">
            <v>1</v>
          </cell>
          <cell r="AK53">
            <v>0</v>
          </cell>
          <cell r="AM53">
            <v>0</v>
          </cell>
          <cell r="AN53">
            <v>0</v>
          </cell>
          <cell r="AP53">
            <v>40</v>
          </cell>
          <cell r="AQ53">
            <v>40</v>
          </cell>
          <cell r="AS53">
            <v>5</v>
          </cell>
          <cell r="AT53">
            <v>5</v>
          </cell>
          <cell r="AV53">
            <v>0</v>
          </cell>
          <cell r="AW53">
            <v>0</v>
          </cell>
          <cell r="AY53">
            <v>4</v>
          </cell>
          <cell r="AZ53">
            <v>4</v>
          </cell>
          <cell r="BB53">
            <v>44</v>
          </cell>
          <cell r="BC53">
            <v>13</v>
          </cell>
          <cell r="BE53">
            <v>4</v>
          </cell>
          <cell r="BF53">
            <v>4</v>
          </cell>
          <cell r="BH53">
            <v>4</v>
          </cell>
          <cell r="BI53">
            <v>4</v>
          </cell>
          <cell r="BK53">
            <v>4</v>
          </cell>
          <cell r="BL53">
            <v>4</v>
          </cell>
          <cell r="BN53">
            <v>2</v>
          </cell>
          <cell r="BO53">
            <v>2</v>
          </cell>
          <cell r="BQ53">
            <v>0</v>
          </cell>
          <cell r="BR53">
            <v>0</v>
          </cell>
          <cell r="BT53">
            <v>0</v>
          </cell>
          <cell r="BU53">
            <v>0</v>
          </cell>
          <cell r="BW53">
            <v>0</v>
          </cell>
          <cell r="BX53">
            <v>0</v>
          </cell>
          <cell r="BZ53">
            <v>38</v>
          </cell>
          <cell r="CA53">
            <v>29</v>
          </cell>
          <cell r="CC53">
            <v>27</v>
          </cell>
          <cell r="CD53">
            <v>27</v>
          </cell>
          <cell r="CF53">
            <v>0</v>
          </cell>
          <cell r="CG53">
            <v>0</v>
          </cell>
        </row>
        <row r="54">
          <cell r="H54">
            <v>865</v>
          </cell>
          <cell r="I54">
            <v>781</v>
          </cell>
          <cell r="K54">
            <v>4</v>
          </cell>
          <cell r="L54">
            <v>0</v>
          </cell>
          <cell r="N54">
            <v>857</v>
          </cell>
          <cell r="O54">
            <v>795</v>
          </cell>
          <cell r="Q54">
            <v>599</v>
          </cell>
          <cell r="R54">
            <v>448</v>
          </cell>
          <cell r="T54">
            <v>4696</v>
          </cell>
          <cell r="U54">
            <v>2556</v>
          </cell>
          <cell r="W54">
            <v>3592</v>
          </cell>
          <cell r="Y54">
            <v>2206</v>
          </cell>
          <cell r="AA54">
            <v>110</v>
          </cell>
          <cell r="AB54">
            <v>104</v>
          </cell>
          <cell r="AD54">
            <v>0</v>
          </cell>
          <cell r="AE54">
            <v>0</v>
          </cell>
          <cell r="AJ54">
            <v>2152</v>
          </cell>
          <cell r="AK54">
            <v>1200</v>
          </cell>
          <cell r="AM54">
            <v>1</v>
          </cell>
          <cell r="AN54">
            <v>1</v>
          </cell>
          <cell r="AP54">
            <v>203</v>
          </cell>
          <cell r="AQ54">
            <v>50</v>
          </cell>
          <cell r="AS54">
            <v>38</v>
          </cell>
          <cell r="AT54">
            <v>33</v>
          </cell>
          <cell r="AV54">
            <v>25</v>
          </cell>
          <cell r="AW54">
            <v>25</v>
          </cell>
          <cell r="AY54">
            <v>12</v>
          </cell>
          <cell r="AZ54">
            <v>5</v>
          </cell>
          <cell r="BB54">
            <v>0</v>
          </cell>
          <cell r="BC54">
            <v>0</v>
          </cell>
          <cell r="BE54">
            <v>34</v>
          </cell>
          <cell r="BF54">
            <v>34</v>
          </cell>
          <cell r="BH54">
            <v>33</v>
          </cell>
          <cell r="BI54">
            <v>24</v>
          </cell>
          <cell r="BK54">
            <v>32</v>
          </cell>
          <cell r="BL54">
            <v>25</v>
          </cell>
          <cell r="BN54">
            <v>48</v>
          </cell>
          <cell r="BO54">
            <v>39</v>
          </cell>
          <cell r="BQ54">
            <v>30</v>
          </cell>
          <cell r="BR54">
            <v>20</v>
          </cell>
          <cell r="BT54">
            <v>28</v>
          </cell>
          <cell r="BU54">
            <v>16</v>
          </cell>
          <cell r="BW54">
            <v>0</v>
          </cell>
          <cell r="BX54">
            <v>0</v>
          </cell>
          <cell r="BZ54">
            <v>781</v>
          </cell>
          <cell r="CA54">
            <v>757</v>
          </cell>
          <cell r="CC54">
            <v>50</v>
          </cell>
          <cell r="CD54">
            <v>50</v>
          </cell>
          <cell r="CF54">
            <v>0</v>
          </cell>
          <cell r="CG54">
            <v>0</v>
          </cell>
        </row>
        <row r="55">
          <cell r="H55">
            <v>526</v>
          </cell>
          <cell r="I55">
            <v>367</v>
          </cell>
          <cell r="K55">
            <v>6</v>
          </cell>
          <cell r="L55">
            <v>4</v>
          </cell>
          <cell r="N55">
            <v>474</v>
          </cell>
          <cell r="O55">
            <v>474</v>
          </cell>
          <cell r="Q55">
            <v>367</v>
          </cell>
          <cell r="R55">
            <v>307</v>
          </cell>
          <cell r="T55">
            <v>2182</v>
          </cell>
          <cell r="U55">
            <v>1838</v>
          </cell>
          <cell r="W55">
            <v>609</v>
          </cell>
          <cell r="Y55">
            <v>455</v>
          </cell>
          <cell r="AA55">
            <v>248</v>
          </cell>
          <cell r="AB55">
            <v>247</v>
          </cell>
          <cell r="AD55">
            <v>328</v>
          </cell>
          <cell r="AE55">
            <v>60</v>
          </cell>
          <cell r="AJ55">
            <v>1578</v>
          </cell>
          <cell r="AK55">
            <v>1406</v>
          </cell>
          <cell r="AM55">
            <v>55</v>
          </cell>
          <cell r="AN55">
            <v>52</v>
          </cell>
          <cell r="AP55">
            <v>97</v>
          </cell>
          <cell r="AQ55">
            <v>61</v>
          </cell>
          <cell r="AS55">
            <v>127</v>
          </cell>
          <cell r="AT55">
            <v>127</v>
          </cell>
          <cell r="AV55">
            <v>0</v>
          </cell>
          <cell r="AW55">
            <v>0</v>
          </cell>
          <cell r="AY55">
            <v>252</v>
          </cell>
          <cell r="AZ55">
            <v>251</v>
          </cell>
          <cell r="BB55">
            <v>70</v>
          </cell>
          <cell r="BC55">
            <v>64</v>
          </cell>
          <cell r="BE55">
            <v>21</v>
          </cell>
          <cell r="BF55">
            <v>21</v>
          </cell>
          <cell r="BH55">
            <v>16</v>
          </cell>
          <cell r="BI55">
            <v>16</v>
          </cell>
          <cell r="BK55">
            <v>6</v>
          </cell>
          <cell r="BL55">
            <v>6</v>
          </cell>
          <cell r="BN55">
            <v>10</v>
          </cell>
          <cell r="BO55">
            <v>9</v>
          </cell>
          <cell r="BQ55">
            <v>10</v>
          </cell>
          <cell r="BR55">
            <v>10</v>
          </cell>
          <cell r="BT55">
            <v>5</v>
          </cell>
          <cell r="BU55">
            <v>5</v>
          </cell>
          <cell r="BW55">
            <v>0</v>
          </cell>
          <cell r="BX55">
            <v>0</v>
          </cell>
          <cell r="BZ55">
            <v>367</v>
          </cell>
          <cell r="CA55">
            <v>360</v>
          </cell>
          <cell r="CC55">
            <v>352</v>
          </cell>
          <cell r="CD55">
            <v>391</v>
          </cell>
          <cell r="CF55">
            <v>0</v>
          </cell>
          <cell r="CG55">
            <v>0</v>
          </cell>
        </row>
        <row r="56">
          <cell r="H56">
            <v>722</v>
          </cell>
          <cell r="I56">
            <v>828</v>
          </cell>
          <cell r="K56">
            <v>0</v>
          </cell>
          <cell r="L56">
            <v>0</v>
          </cell>
          <cell r="N56">
            <v>642</v>
          </cell>
          <cell r="O56">
            <v>642</v>
          </cell>
          <cell r="Q56">
            <v>446</v>
          </cell>
          <cell r="R56">
            <v>381</v>
          </cell>
          <cell r="T56">
            <v>3988</v>
          </cell>
          <cell r="U56">
            <v>3332</v>
          </cell>
          <cell r="W56">
            <v>935</v>
          </cell>
          <cell r="Y56">
            <v>703</v>
          </cell>
          <cell r="AA56">
            <v>215</v>
          </cell>
          <cell r="AB56">
            <v>215</v>
          </cell>
          <cell r="AD56">
            <v>275</v>
          </cell>
          <cell r="AE56">
            <v>240</v>
          </cell>
          <cell r="AJ56">
            <v>987</v>
          </cell>
          <cell r="AK56">
            <v>936</v>
          </cell>
          <cell r="AM56">
            <v>10</v>
          </cell>
          <cell r="AN56">
            <v>10</v>
          </cell>
          <cell r="AP56">
            <v>43</v>
          </cell>
          <cell r="AQ56">
            <v>42</v>
          </cell>
          <cell r="AS56">
            <v>290</v>
          </cell>
          <cell r="AT56">
            <v>290</v>
          </cell>
          <cell r="AV56">
            <v>10</v>
          </cell>
          <cell r="AW56">
            <v>10</v>
          </cell>
          <cell r="AY56">
            <v>128</v>
          </cell>
          <cell r="AZ56">
            <v>128</v>
          </cell>
          <cell r="BB56">
            <v>22</v>
          </cell>
          <cell r="BC56">
            <v>21</v>
          </cell>
          <cell r="BE56">
            <v>35</v>
          </cell>
          <cell r="BF56">
            <v>35</v>
          </cell>
          <cell r="BH56">
            <v>43</v>
          </cell>
          <cell r="BI56">
            <v>43</v>
          </cell>
          <cell r="BK56">
            <v>4</v>
          </cell>
          <cell r="BL56">
            <v>4</v>
          </cell>
          <cell r="BN56">
            <v>4</v>
          </cell>
          <cell r="BO56">
            <v>4</v>
          </cell>
          <cell r="BQ56">
            <v>19</v>
          </cell>
          <cell r="BR56">
            <v>15</v>
          </cell>
          <cell r="BT56">
            <v>18</v>
          </cell>
          <cell r="BU56">
            <v>18</v>
          </cell>
          <cell r="BW56">
            <v>0</v>
          </cell>
          <cell r="BX56">
            <v>0</v>
          </cell>
          <cell r="BZ56">
            <v>828</v>
          </cell>
          <cell r="CA56">
            <v>829</v>
          </cell>
          <cell r="CC56">
            <v>357</v>
          </cell>
          <cell r="CD56">
            <v>357</v>
          </cell>
          <cell r="CF56">
            <v>0</v>
          </cell>
          <cell r="CG56">
            <v>0</v>
          </cell>
        </row>
        <row r="57">
          <cell r="H57">
            <v>664</v>
          </cell>
          <cell r="I57">
            <v>610</v>
          </cell>
          <cell r="K57">
            <v>18</v>
          </cell>
          <cell r="L57">
            <v>10</v>
          </cell>
          <cell r="N57">
            <v>557</v>
          </cell>
          <cell r="O57">
            <v>557</v>
          </cell>
          <cell r="Q57">
            <v>412</v>
          </cell>
          <cell r="R57">
            <v>357</v>
          </cell>
          <cell r="T57">
            <v>2785</v>
          </cell>
          <cell r="U57">
            <v>2463</v>
          </cell>
          <cell r="W57">
            <v>1028</v>
          </cell>
          <cell r="Y57">
            <v>872</v>
          </cell>
          <cell r="AA57">
            <v>223</v>
          </cell>
          <cell r="AB57">
            <v>223</v>
          </cell>
          <cell r="AD57">
            <v>133</v>
          </cell>
          <cell r="AE57">
            <v>113</v>
          </cell>
          <cell r="AJ57">
            <v>584</v>
          </cell>
          <cell r="AK57">
            <v>535</v>
          </cell>
          <cell r="AM57">
            <v>3</v>
          </cell>
          <cell r="AN57">
            <v>3</v>
          </cell>
          <cell r="AP57">
            <v>106</v>
          </cell>
          <cell r="AQ57">
            <v>96</v>
          </cell>
          <cell r="AS57">
            <v>381</v>
          </cell>
          <cell r="AT57">
            <v>381</v>
          </cell>
          <cell r="AV57">
            <v>0</v>
          </cell>
          <cell r="AW57">
            <v>0</v>
          </cell>
          <cell r="AY57">
            <v>320</v>
          </cell>
          <cell r="AZ57">
            <v>320</v>
          </cell>
          <cell r="BB57">
            <v>20</v>
          </cell>
          <cell r="BC57">
            <v>274</v>
          </cell>
          <cell r="BE57">
            <v>17</v>
          </cell>
          <cell r="BF57">
            <v>17</v>
          </cell>
          <cell r="BH57">
            <v>35</v>
          </cell>
          <cell r="BI57">
            <v>34</v>
          </cell>
          <cell r="BK57">
            <v>15</v>
          </cell>
          <cell r="BL57">
            <v>15</v>
          </cell>
          <cell r="BN57">
            <v>25</v>
          </cell>
          <cell r="BO57">
            <v>24</v>
          </cell>
          <cell r="BQ57">
            <v>28</v>
          </cell>
          <cell r="BR57">
            <v>21</v>
          </cell>
          <cell r="BT57">
            <v>12</v>
          </cell>
          <cell r="BU57">
            <v>9</v>
          </cell>
          <cell r="BW57">
            <v>0</v>
          </cell>
          <cell r="BX57">
            <v>0</v>
          </cell>
          <cell r="BZ57">
            <v>610</v>
          </cell>
          <cell r="CA57">
            <v>610</v>
          </cell>
          <cell r="CC57">
            <v>180</v>
          </cell>
          <cell r="CD57">
            <v>180</v>
          </cell>
          <cell r="CF57">
            <v>41</v>
          </cell>
          <cell r="CG57">
            <v>41</v>
          </cell>
        </row>
        <row r="58">
          <cell r="H58">
            <v>247</v>
          </cell>
          <cell r="I58">
            <v>237</v>
          </cell>
          <cell r="K58">
            <v>0</v>
          </cell>
          <cell r="L58">
            <v>0</v>
          </cell>
          <cell r="N58">
            <v>206</v>
          </cell>
          <cell r="O58">
            <v>206</v>
          </cell>
          <cell r="Q58">
            <v>204</v>
          </cell>
          <cell r="R58">
            <v>185</v>
          </cell>
          <cell r="T58">
            <v>354</v>
          </cell>
          <cell r="U58">
            <v>318</v>
          </cell>
          <cell r="W58">
            <v>118</v>
          </cell>
          <cell r="Y58">
            <v>108</v>
          </cell>
          <cell r="AA58">
            <v>117</v>
          </cell>
          <cell r="AB58">
            <v>117</v>
          </cell>
          <cell r="AD58">
            <v>78</v>
          </cell>
          <cell r="AE58">
            <v>39</v>
          </cell>
          <cell r="AJ58">
            <v>185</v>
          </cell>
          <cell r="AK58">
            <v>163</v>
          </cell>
          <cell r="AM58">
            <v>0</v>
          </cell>
          <cell r="AN58">
            <v>0</v>
          </cell>
          <cell r="AP58">
            <v>7</v>
          </cell>
          <cell r="AQ58">
            <v>7</v>
          </cell>
          <cell r="AS58">
            <v>10</v>
          </cell>
          <cell r="AT58">
            <v>7</v>
          </cell>
          <cell r="AV58">
            <v>0</v>
          </cell>
          <cell r="AW58">
            <v>0</v>
          </cell>
          <cell r="AY58">
            <v>13</v>
          </cell>
          <cell r="AZ58">
            <v>13</v>
          </cell>
          <cell r="BB58">
            <v>12</v>
          </cell>
          <cell r="BC58">
            <v>19</v>
          </cell>
          <cell r="BE58">
            <v>7</v>
          </cell>
          <cell r="BF58">
            <v>7</v>
          </cell>
          <cell r="BH58">
            <v>9</v>
          </cell>
          <cell r="BI58">
            <v>9</v>
          </cell>
          <cell r="BK58">
            <v>4</v>
          </cell>
          <cell r="BL58">
            <v>3</v>
          </cell>
          <cell r="BN58">
            <v>7</v>
          </cell>
          <cell r="BO58">
            <v>6</v>
          </cell>
          <cell r="BQ58">
            <v>1</v>
          </cell>
          <cell r="BR58">
            <v>1</v>
          </cell>
          <cell r="BT58">
            <v>10</v>
          </cell>
          <cell r="BU58">
            <v>10</v>
          </cell>
          <cell r="BW58">
            <v>0</v>
          </cell>
          <cell r="BX58">
            <v>0</v>
          </cell>
          <cell r="BZ58">
            <v>237</v>
          </cell>
          <cell r="CA58">
            <v>237</v>
          </cell>
          <cell r="CC58">
            <v>99</v>
          </cell>
          <cell r="CD58">
            <v>115</v>
          </cell>
          <cell r="CF58">
            <v>0</v>
          </cell>
          <cell r="CG58">
            <v>0</v>
          </cell>
        </row>
        <row r="59">
          <cell r="H59">
            <v>260</v>
          </cell>
          <cell r="I59">
            <v>259</v>
          </cell>
          <cell r="K59">
            <v>1</v>
          </cell>
          <cell r="L59">
            <v>1</v>
          </cell>
          <cell r="N59">
            <v>217</v>
          </cell>
          <cell r="O59">
            <v>217</v>
          </cell>
          <cell r="Q59">
            <v>171</v>
          </cell>
          <cell r="R59">
            <v>162</v>
          </cell>
          <cell r="T59">
            <v>2225</v>
          </cell>
          <cell r="U59">
            <v>1988</v>
          </cell>
          <cell r="W59">
            <v>524</v>
          </cell>
          <cell r="Y59">
            <v>456</v>
          </cell>
          <cell r="AA59">
            <v>12</v>
          </cell>
          <cell r="AB59">
            <v>12</v>
          </cell>
          <cell r="AD59">
            <v>70</v>
          </cell>
          <cell r="AE59">
            <v>65</v>
          </cell>
          <cell r="AJ59">
            <v>436</v>
          </cell>
          <cell r="AK59">
            <v>436</v>
          </cell>
          <cell r="AM59">
            <v>0</v>
          </cell>
          <cell r="AN59">
            <v>0</v>
          </cell>
          <cell r="AP59">
            <v>101</v>
          </cell>
          <cell r="AQ59">
            <v>101</v>
          </cell>
          <cell r="AS59">
            <v>103</v>
          </cell>
          <cell r="AT59">
            <v>103</v>
          </cell>
          <cell r="AV59">
            <v>0</v>
          </cell>
          <cell r="AW59">
            <v>0</v>
          </cell>
          <cell r="AY59">
            <v>26</v>
          </cell>
          <cell r="AZ59">
            <v>26</v>
          </cell>
          <cell r="BB59">
            <v>0</v>
          </cell>
          <cell r="BC59">
            <v>0</v>
          </cell>
          <cell r="BE59">
            <v>7</v>
          </cell>
          <cell r="BF59">
            <v>7</v>
          </cell>
          <cell r="BH59">
            <v>18</v>
          </cell>
          <cell r="BI59">
            <v>18</v>
          </cell>
          <cell r="BK59">
            <v>5</v>
          </cell>
          <cell r="BL59">
            <v>5</v>
          </cell>
          <cell r="BN59">
            <v>6</v>
          </cell>
          <cell r="BO59">
            <v>6</v>
          </cell>
          <cell r="BQ59">
            <v>5</v>
          </cell>
          <cell r="BR59">
            <v>5</v>
          </cell>
          <cell r="BT59">
            <v>13</v>
          </cell>
          <cell r="BU59">
            <v>13</v>
          </cell>
          <cell r="BW59">
            <v>0</v>
          </cell>
          <cell r="BX59">
            <v>0</v>
          </cell>
          <cell r="BZ59">
            <v>259</v>
          </cell>
          <cell r="CA59">
            <v>260</v>
          </cell>
          <cell r="CC59">
            <v>88</v>
          </cell>
          <cell r="CD59">
            <v>88</v>
          </cell>
          <cell r="CF59">
            <v>0</v>
          </cell>
          <cell r="CG59">
            <v>0</v>
          </cell>
        </row>
        <row r="60">
          <cell r="H60">
            <v>182</v>
          </cell>
          <cell r="I60">
            <v>177</v>
          </cell>
          <cell r="K60">
            <v>3</v>
          </cell>
          <cell r="L60">
            <v>3</v>
          </cell>
          <cell r="N60">
            <v>139</v>
          </cell>
          <cell r="O60">
            <v>139</v>
          </cell>
          <cell r="Q60">
            <v>126</v>
          </cell>
          <cell r="R60">
            <v>114</v>
          </cell>
          <cell r="T60">
            <v>270</v>
          </cell>
          <cell r="U60">
            <v>210</v>
          </cell>
          <cell r="W60">
            <v>230</v>
          </cell>
          <cell r="Y60">
            <v>175</v>
          </cell>
          <cell r="AA60">
            <v>110</v>
          </cell>
          <cell r="AB60">
            <v>110</v>
          </cell>
          <cell r="AD60">
            <v>63</v>
          </cell>
          <cell r="AE60">
            <v>57</v>
          </cell>
          <cell r="AJ60">
            <v>122</v>
          </cell>
          <cell r="AK60">
            <v>122</v>
          </cell>
          <cell r="AM60">
            <v>0</v>
          </cell>
          <cell r="AN60">
            <v>0</v>
          </cell>
          <cell r="AP60">
            <v>0</v>
          </cell>
          <cell r="AQ60">
            <v>0</v>
          </cell>
          <cell r="AS60">
            <v>11</v>
          </cell>
          <cell r="AT60">
            <v>11</v>
          </cell>
          <cell r="AV60">
            <v>0</v>
          </cell>
          <cell r="AW60">
            <v>0</v>
          </cell>
          <cell r="AY60">
            <v>48</v>
          </cell>
          <cell r="AZ60">
            <v>48</v>
          </cell>
          <cell r="BB60">
            <v>8</v>
          </cell>
          <cell r="BC60">
            <v>8</v>
          </cell>
          <cell r="BE60">
            <v>9</v>
          </cell>
          <cell r="BF60">
            <v>9</v>
          </cell>
          <cell r="BH60">
            <v>11</v>
          </cell>
          <cell r="BI60">
            <v>11</v>
          </cell>
          <cell r="BK60">
            <v>7</v>
          </cell>
          <cell r="BL60">
            <v>7</v>
          </cell>
          <cell r="BN60">
            <v>9</v>
          </cell>
          <cell r="BO60">
            <v>9</v>
          </cell>
          <cell r="BQ60">
            <v>5</v>
          </cell>
          <cell r="BR60">
            <v>5</v>
          </cell>
          <cell r="BT60">
            <v>5</v>
          </cell>
          <cell r="BU60">
            <v>5</v>
          </cell>
          <cell r="BW60">
            <v>0</v>
          </cell>
          <cell r="BX60">
            <v>0</v>
          </cell>
          <cell r="BZ60">
            <v>177</v>
          </cell>
          <cell r="CA60">
            <v>177</v>
          </cell>
          <cell r="CC60">
            <v>92</v>
          </cell>
          <cell r="CD60">
            <v>92</v>
          </cell>
          <cell r="CF60">
            <v>0</v>
          </cell>
          <cell r="CG60">
            <v>0</v>
          </cell>
        </row>
        <row r="61">
          <cell r="H61">
            <v>494</v>
          </cell>
          <cell r="I61">
            <v>406</v>
          </cell>
          <cell r="K61">
            <v>0</v>
          </cell>
          <cell r="L61">
            <v>0</v>
          </cell>
          <cell r="N61">
            <v>451</v>
          </cell>
          <cell r="O61">
            <v>451</v>
          </cell>
          <cell r="Q61">
            <v>423</v>
          </cell>
          <cell r="R61">
            <v>390</v>
          </cell>
          <cell r="T61">
            <v>1562</v>
          </cell>
          <cell r="U61">
            <v>1295</v>
          </cell>
          <cell r="W61">
            <v>658</v>
          </cell>
          <cell r="Y61">
            <v>538</v>
          </cell>
          <cell r="AA61">
            <v>291</v>
          </cell>
          <cell r="AB61">
            <v>291</v>
          </cell>
          <cell r="AD61">
            <v>471</v>
          </cell>
          <cell r="AE61">
            <v>438</v>
          </cell>
          <cell r="AJ61">
            <v>303</v>
          </cell>
          <cell r="AK61">
            <v>298</v>
          </cell>
          <cell r="AM61">
            <v>2</v>
          </cell>
          <cell r="AN61">
            <v>2</v>
          </cell>
          <cell r="AP61">
            <v>179</v>
          </cell>
          <cell r="AQ61">
            <v>174</v>
          </cell>
          <cell r="AS61">
            <v>70</v>
          </cell>
          <cell r="AT61">
            <v>69</v>
          </cell>
          <cell r="AV61">
            <v>0</v>
          </cell>
          <cell r="AW61">
            <v>0</v>
          </cell>
          <cell r="AY61">
            <v>40</v>
          </cell>
          <cell r="AZ61">
            <v>40</v>
          </cell>
          <cell r="BB61">
            <v>52</v>
          </cell>
          <cell r="BC61">
            <v>51</v>
          </cell>
          <cell r="BE61">
            <v>28</v>
          </cell>
          <cell r="BF61">
            <v>28</v>
          </cell>
          <cell r="BH61">
            <v>36</v>
          </cell>
          <cell r="BI61">
            <v>36</v>
          </cell>
          <cell r="BK61">
            <v>30</v>
          </cell>
          <cell r="BL61">
            <v>30</v>
          </cell>
          <cell r="BN61">
            <v>16</v>
          </cell>
          <cell r="BO61">
            <v>16</v>
          </cell>
          <cell r="BQ61">
            <v>12</v>
          </cell>
          <cell r="BR61">
            <v>12</v>
          </cell>
          <cell r="BT61">
            <v>23</v>
          </cell>
          <cell r="BU61">
            <v>22</v>
          </cell>
          <cell r="BW61">
            <v>0</v>
          </cell>
          <cell r="BX61">
            <v>0</v>
          </cell>
          <cell r="BZ61">
            <v>406</v>
          </cell>
          <cell r="CA61">
            <v>406</v>
          </cell>
          <cell r="CC61">
            <v>342</v>
          </cell>
          <cell r="CD61">
            <v>354</v>
          </cell>
          <cell r="CF61">
            <v>0</v>
          </cell>
          <cell r="CG61">
            <v>0</v>
          </cell>
        </row>
        <row r="62">
          <cell r="H62">
            <v>186</v>
          </cell>
          <cell r="I62">
            <v>183</v>
          </cell>
          <cell r="K62">
            <v>9</v>
          </cell>
          <cell r="L62">
            <v>9</v>
          </cell>
          <cell r="N62">
            <v>124</v>
          </cell>
          <cell r="O62">
            <v>124</v>
          </cell>
          <cell r="Q62">
            <v>124</v>
          </cell>
          <cell r="R62">
            <v>100</v>
          </cell>
          <cell r="T62">
            <v>755</v>
          </cell>
          <cell r="U62">
            <v>626</v>
          </cell>
          <cell r="W62">
            <v>252</v>
          </cell>
          <cell r="Y62">
            <v>225</v>
          </cell>
          <cell r="AA62">
            <v>152</v>
          </cell>
          <cell r="AB62">
            <v>152</v>
          </cell>
          <cell r="AD62">
            <v>123</v>
          </cell>
          <cell r="AE62">
            <v>55</v>
          </cell>
          <cell r="AJ62">
            <v>687</v>
          </cell>
          <cell r="AK62">
            <v>618</v>
          </cell>
          <cell r="AM62">
            <v>0</v>
          </cell>
          <cell r="AN62">
            <v>0</v>
          </cell>
          <cell r="AP62">
            <v>49</v>
          </cell>
          <cell r="AQ62">
            <v>25</v>
          </cell>
          <cell r="AS62">
            <v>8</v>
          </cell>
          <cell r="AT62">
            <v>6</v>
          </cell>
          <cell r="AV62">
            <v>0</v>
          </cell>
          <cell r="AW62">
            <v>0</v>
          </cell>
          <cell r="AY62">
            <v>5</v>
          </cell>
          <cell r="AZ62">
            <v>4</v>
          </cell>
          <cell r="BB62">
            <v>223</v>
          </cell>
          <cell r="BC62">
            <v>245</v>
          </cell>
          <cell r="BE62">
            <v>7</v>
          </cell>
          <cell r="BF62">
            <v>7</v>
          </cell>
          <cell r="BH62">
            <v>11</v>
          </cell>
          <cell r="BI62">
            <v>11</v>
          </cell>
          <cell r="BK62">
            <v>7</v>
          </cell>
          <cell r="BL62">
            <v>7</v>
          </cell>
          <cell r="BN62">
            <v>9</v>
          </cell>
          <cell r="BO62">
            <v>9</v>
          </cell>
          <cell r="BQ62">
            <v>7</v>
          </cell>
          <cell r="BR62">
            <v>7</v>
          </cell>
          <cell r="BT62">
            <v>8</v>
          </cell>
          <cell r="BU62">
            <v>7</v>
          </cell>
          <cell r="BW62">
            <v>0</v>
          </cell>
          <cell r="BX62">
            <v>0</v>
          </cell>
          <cell r="BZ62">
            <v>183</v>
          </cell>
          <cell r="CA62">
            <v>183</v>
          </cell>
          <cell r="CC62">
            <v>92</v>
          </cell>
          <cell r="CD62">
            <v>109</v>
          </cell>
          <cell r="CF62">
            <v>0</v>
          </cell>
          <cell r="CG62">
            <v>0</v>
          </cell>
        </row>
        <row r="63">
          <cell r="H63">
            <v>601</v>
          </cell>
          <cell r="I63">
            <v>575</v>
          </cell>
          <cell r="K63">
            <v>0</v>
          </cell>
          <cell r="L63">
            <v>0</v>
          </cell>
          <cell r="N63">
            <v>653</v>
          </cell>
          <cell r="O63">
            <v>653</v>
          </cell>
          <cell r="Q63">
            <v>555</v>
          </cell>
          <cell r="R63">
            <v>472</v>
          </cell>
          <cell r="T63">
            <v>2371</v>
          </cell>
          <cell r="U63">
            <v>1639</v>
          </cell>
          <cell r="W63">
            <v>1580</v>
          </cell>
          <cell r="Y63">
            <v>824</v>
          </cell>
          <cell r="AA63">
            <v>23</v>
          </cell>
          <cell r="AB63">
            <v>23</v>
          </cell>
          <cell r="AD63">
            <v>18</v>
          </cell>
          <cell r="AE63">
            <v>3</v>
          </cell>
          <cell r="AJ63">
            <v>2373</v>
          </cell>
          <cell r="AK63">
            <v>1901</v>
          </cell>
          <cell r="AM63">
            <v>5</v>
          </cell>
          <cell r="AN63">
            <v>5</v>
          </cell>
          <cell r="AP63">
            <v>222</v>
          </cell>
          <cell r="AQ63">
            <v>197</v>
          </cell>
          <cell r="AS63">
            <v>20</v>
          </cell>
          <cell r="AT63">
            <v>0</v>
          </cell>
          <cell r="AV63">
            <v>1</v>
          </cell>
          <cell r="AW63">
            <v>0</v>
          </cell>
          <cell r="AY63">
            <v>39</v>
          </cell>
          <cell r="AZ63">
            <v>0</v>
          </cell>
          <cell r="BB63">
            <v>7</v>
          </cell>
          <cell r="BC63">
            <v>327</v>
          </cell>
          <cell r="BE63">
            <v>18</v>
          </cell>
          <cell r="BF63">
            <v>18</v>
          </cell>
          <cell r="BH63">
            <v>13</v>
          </cell>
          <cell r="BI63">
            <v>12</v>
          </cell>
          <cell r="BK63">
            <v>8</v>
          </cell>
          <cell r="BL63">
            <v>8</v>
          </cell>
          <cell r="BN63">
            <v>2</v>
          </cell>
          <cell r="BO63">
            <v>2</v>
          </cell>
          <cell r="BQ63">
            <v>0</v>
          </cell>
          <cell r="BR63">
            <v>0</v>
          </cell>
          <cell r="BT63">
            <v>2</v>
          </cell>
          <cell r="BU63">
            <v>2</v>
          </cell>
          <cell r="BW63">
            <v>0</v>
          </cell>
          <cell r="BX63">
            <v>0</v>
          </cell>
          <cell r="BZ63">
            <v>575</v>
          </cell>
          <cell r="CA63">
            <v>574</v>
          </cell>
          <cell r="CC63">
            <v>263</v>
          </cell>
          <cell r="CD63">
            <v>263</v>
          </cell>
          <cell r="CF63">
            <v>71</v>
          </cell>
          <cell r="CG63">
            <v>69</v>
          </cell>
        </row>
        <row r="64">
          <cell r="H64">
            <v>199</v>
          </cell>
          <cell r="I64">
            <v>239</v>
          </cell>
          <cell r="K64">
            <v>0</v>
          </cell>
          <cell r="L64">
            <v>0</v>
          </cell>
          <cell r="N64">
            <v>177</v>
          </cell>
          <cell r="O64">
            <v>177</v>
          </cell>
          <cell r="Q64">
            <v>156</v>
          </cell>
          <cell r="R64">
            <v>142</v>
          </cell>
          <cell r="T64">
            <v>546</v>
          </cell>
          <cell r="U64">
            <v>440</v>
          </cell>
          <cell r="W64">
            <v>352</v>
          </cell>
          <cell r="Y64">
            <v>242</v>
          </cell>
          <cell r="AA64">
            <v>86</v>
          </cell>
          <cell r="AB64">
            <v>86</v>
          </cell>
          <cell r="AD64">
            <v>60</v>
          </cell>
          <cell r="AE64">
            <v>49</v>
          </cell>
          <cell r="AJ64">
            <v>67</v>
          </cell>
          <cell r="AK64">
            <v>62</v>
          </cell>
          <cell r="AM64">
            <v>0</v>
          </cell>
          <cell r="AN64">
            <v>0</v>
          </cell>
          <cell r="AP64">
            <v>15</v>
          </cell>
          <cell r="AQ64">
            <v>13</v>
          </cell>
          <cell r="AS64">
            <v>128</v>
          </cell>
          <cell r="AT64">
            <v>127</v>
          </cell>
          <cell r="AV64">
            <v>4</v>
          </cell>
          <cell r="AW64">
            <v>4</v>
          </cell>
          <cell r="AY64">
            <v>209</v>
          </cell>
          <cell r="AZ64">
            <v>209</v>
          </cell>
          <cell r="BB64">
            <v>43</v>
          </cell>
          <cell r="BC64">
            <v>41</v>
          </cell>
          <cell r="BE64">
            <v>7</v>
          </cell>
          <cell r="BF64">
            <v>7</v>
          </cell>
          <cell r="BH64">
            <v>5</v>
          </cell>
          <cell r="BI64">
            <v>4</v>
          </cell>
          <cell r="BK64">
            <v>13</v>
          </cell>
          <cell r="BL64">
            <v>13</v>
          </cell>
          <cell r="BN64">
            <v>9</v>
          </cell>
          <cell r="BO64">
            <v>9</v>
          </cell>
          <cell r="BQ64">
            <v>15</v>
          </cell>
          <cell r="BR64">
            <v>8</v>
          </cell>
          <cell r="BT64">
            <v>15</v>
          </cell>
          <cell r="BU64">
            <v>10</v>
          </cell>
          <cell r="BW64">
            <v>0</v>
          </cell>
          <cell r="BX64">
            <v>0</v>
          </cell>
          <cell r="BZ64">
            <v>239</v>
          </cell>
          <cell r="CA64">
            <v>239</v>
          </cell>
          <cell r="CC64">
            <v>121</v>
          </cell>
          <cell r="CD64">
            <v>106</v>
          </cell>
          <cell r="CF64">
            <v>0</v>
          </cell>
          <cell r="CG64">
            <v>0</v>
          </cell>
        </row>
        <row r="65">
          <cell r="H65">
            <v>1362</v>
          </cell>
          <cell r="I65">
            <v>1087</v>
          </cell>
          <cell r="K65">
            <v>0</v>
          </cell>
          <cell r="L65">
            <v>2</v>
          </cell>
          <cell r="N65">
            <v>1211</v>
          </cell>
          <cell r="O65">
            <v>1211</v>
          </cell>
          <cell r="Q65">
            <v>911</v>
          </cell>
          <cell r="R65">
            <v>726</v>
          </cell>
          <cell r="T65">
            <v>2688</v>
          </cell>
          <cell r="U65">
            <v>2228</v>
          </cell>
          <cell r="W65">
            <v>1203</v>
          </cell>
          <cell r="Y65">
            <v>414</v>
          </cell>
          <cell r="AA65">
            <v>524</v>
          </cell>
          <cell r="AB65">
            <v>524</v>
          </cell>
          <cell r="AD65">
            <v>493</v>
          </cell>
          <cell r="AE65">
            <v>417</v>
          </cell>
          <cell r="AJ65">
            <v>1321</v>
          </cell>
          <cell r="AK65">
            <v>1317</v>
          </cell>
          <cell r="AM65">
            <v>25</v>
          </cell>
          <cell r="AN65">
            <v>25</v>
          </cell>
          <cell r="AP65">
            <v>102</v>
          </cell>
          <cell r="AQ65">
            <v>100</v>
          </cell>
          <cell r="AS65">
            <v>145</v>
          </cell>
          <cell r="AT65">
            <v>142</v>
          </cell>
          <cell r="AV65">
            <v>0</v>
          </cell>
          <cell r="AW65">
            <v>0</v>
          </cell>
          <cell r="AY65">
            <v>109</v>
          </cell>
          <cell r="AZ65">
            <v>109</v>
          </cell>
          <cell r="BB65">
            <v>83</v>
          </cell>
          <cell r="BC65">
            <v>311</v>
          </cell>
          <cell r="BE65">
            <v>53</v>
          </cell>
          <cell r="BF65">
            <v>53</v>
          </cell>
          <cell r="BH65">
            <v>28</v>
          </cell>
          <cell r="BI65">
            <v>28</v>
          </cell>
          <cell r="BK65">
            <v>17</v>
          </cell>
          <cell r="BL65">
            <v>17</v>
          </cell>
          <cell r="BN65">
            <v>10</v>
          </cell>
          <cell r="BO65">
            <v>10</v>
          </cell>
          <cell r="BQ65">
            <v>10</v>
          </cell>
          <cell r="BR65">
            <v>10</v>
          </cell>
          <cell r="BT65">
            <v>5</v>
          </cell>
          <cell r="BU65">
            <v>5</v>
          </cell>
          <cell r="BW65">
            <v>0</v>
          </cell>
          <cell r="BX65">
            <v>0</v>
          </cell>
          <cell r="BZ65">
            <v>1087</v>
          </cell>
          <cell r="CA65">
            <v>1087</v>
          </cell>
          <cell r="CC65">
            <v>1152</v>
          </cell>
          <cell r="CD65">
            <v>1294</v>
          </cell>
          <cell r="CF65">
            <v>26</v>
          </cell>
          <cell r="CG65">
            <v>26</v>
          </cell>
        </row>
        <row r="66">
          <cell r="H66">
            <v>895</v>
          </cell>
          <cell r="I66">
            <v>515</v>
          </cell>
          <cell r="K66">
            <v>12</v>
          </cell>
          <cell r="L66">
            <v>3</v>
          </cell>
          <cell r="N66">
            <v>756</v>
          </cell>
          <cell r="O66">
            <v>756</v>
          </cell>
          <cell r="Q66">
            <v>622</v>
          </cell>
          <cell r="R66">
            <v>529</v>
          </cell>
          <cell r="T66">
            <v>2007</v>
          </cell>
          <cell r="U66">
            <v>1890</v>
          </cell>
          <cell r="W66">
            <v>963</v>
          </cell>
          <cell r="Y66">
            <v>373</v>
          </cell>
          <cell r="AA66">
            <v>476</v>
          </cell>
          <cell r="AB66">
            <v>476</v>
          </cell>
          <cell r="AD66">
            <v>396</v>
          </cell>
          <cell r="AE66">
            <v>385</v>
          </cell>
          <cell r="AJ66">
            <v>746</v>
          </cell>
          <cell r="AK66">
            <v>728</v>
          </cell>
          <cell r="AM66">
            <v>22</v>
          </cell>
          <cell r="AN66">
            <v>22</v>
          </cell>
          <cell r="AP66">
            <v>164</v>
          </cell>
          <cell r="AQ66">
            <v>102</v>
          </cell>
          <cell r="AS66">
            <v>15</v>
          </cell>
          <cell r="AT66">
            <v>18</v>
          </cell>
          <cell r="AV66">
            <v>0</v>
          </cell>
          <cell r="AW66">
            <v>0</v>
          </cell>
          <cell r="AY66">
            <v>15</v>
          </cell>
          <cell r="AZ66">
            <v>21</v>
          </cell>
          <cell r="BB66">
            <v>110</v>
          </cell>
          <cell r="BC66">
            <v>157</v>
          </cell>
          <cell r="BE66">
            <v>38</v>
          </cell>
          <cell r="BF66">
            <v>38</v>
          </cell>
          <cell r="BH66">
            <v>123</v>
          </cell>
          <cell r="BI66">
            <v>121</v>
          </cell>
          <cell r="BK66">
            <v>27</v>
          </cell>
          <cell r="BL66">
            <v>27</v>
          </cell>
          <cell r="BN66">
            <v>12</v>
          </cell>
          <cell r="BO66">
            <v>12</v>
          </cell>
          <cell r="BQ66">
            <v>6</v>
          </cell>
          <cell r="BR66">
            <v>4</v>
          </cell>
          <cell r="BT66">
            <v>2</v>
          </cell>
          <cell r="BU66">
            <v>1</v>
          </cell>
          <cell r="BW66">
            <v>0</v>
          </cell>
          <cell r="BX66">
            <v>0</v>
          </cell>
          <cell r="BZ66">
            <v>515</v>
          </cell>
          <cell r="CA66">
            <v>517</v>
          </cell>
          <cell r="CC66">
            <v>597</v>
          </cell>
          <cell r="CD66">
            <v>609</v>
          </cell>
          <cell r="CF66">
            <v>2</v>
          </cell>
          <cell r="CG66">
            <v>2</v>
          </cell>
        </row>
        <row r="67">
          <cell r="H67">
            <v>191</v>
          </cell>
          <cell r="I67">
            <v>188</v>
          </cell>
          <cell r="K67">
            <v>9</v>
          </cell>
          <cell r="L67">
            <v>6</v>
          </cell>
          <cell r="N67">
            <v>163</v>
          </cell>
          <cell r="O67">
            <v>163</v>
          </cell>
          <cell r="Q67">
            <v>115</v>
          </cell>
          <cell r="R67">
            <v>96</v>
          </cell>
          <cell r="T67">
            <v>623</v>
          </cell>
          <cell r="U67">
            <v>532</v>
          </cell>
          <cell r="W67">
            <v>111</v>
          </cell>
          <cell r="Y67">
            <v>83</v>
          </cell>
          <cell r="AA67">
            <v>70</v>
          </cell>
          <cell r="AB67">
            <v>70</v>
          </cell>
          <cell r="AD67">
            <v>94</v>
          </cell>
          <cell r="AE67">
            <v>81</v>
          </cell>
          <cell r="AJ67">
            <v>177</v>
          </cell>
          <cell r="AK67">
            <v>154</v>
          </cell>
          <cell r="AM67">
            <v>0</v>
          </cell>
          <cell r="AN67">
            <v>0</v>
          </cell>
          <cell r="AP67">
            <v>76</v>
          </cell>
          <cell r="AQ67">
            <v>72</v>
          </cell>
          <cell r="AS67">
            <v>68</v>
          </cell>
          <cell r="AT67">
            <v>40</v>
          </cell>
          <cell r="AV67">
            <v>0</v>
          </cell>
          <cell r="AW67">
            <v>0</v>
          </cell>
          <cell r="AY67">
            <v>88</v>
          </cell>
          <cell r="AZ67">
            <v>73</v>
          </cell>
          <cell r="BB67">
            <v>30</v>
          </cell>
          <cell r="BC67">
            <v>29</v>
          </cell>
          <cell r="BE67">
            <v>7</v>
          </cell>
          <cell r="BF67">
            <v>7</v>
          </cell>
          <cell r="BH67">
            <v>12</v>
          </cell>
          <cell r="BI67">
            <v>12</v>
          </cell>
          <cell r="BK67">
            <v>12</v>
          </cell>
          <cell r="BL67">
            <v>10</v>
          </cell>
          <cell r="BN67">
            <v>11</v>
          </cell>
          <cell r="BO67">
            <v>11</v>
          </cell>
          <cell r="BQ67">
            <v>12</v>
          </cell>
          <cell r="BR67">
            <v>11</v>
          </cell>
          <cell r="BT67">
            <v>16</v>
          </cell>
          <cell r="BU67">
            <v>15</v>
          </cell>
          <cell r="BW67">
            <v>0</v>
          </cell>
          <cell r="BX67">
            <v>0</v>
          </cell>
          <cell r="BZ67">
            <v>188</v>
          </cell>
          <cell r="CA67">
            <v>181</v>
          </cell>
          <cell r="CC67">
            <v>132</v>
          </cell>
          <cell r="CD67">
            <v>134</v>
          </cell>
          <cell r="CF67">
            <v>2</v>
          </cell>
          <cell r="CG67">
            <v>2</v>
          </cell>
        </row>
        <row r="68">
          <cell r="H68">
            <v>169</v>
          </cell>
          <cell r="I68">
            <v>181</v>
          </cell>
          <cell r="K68">
            <v>7</v>
          </cell>
          <cell r="L68">
            <v>5</v>
          </cell>
          <cell r="N68">
            <v>172</v>
          </cell>
          <cell r="O68">
            <v>172</v>
          </cell>
          <cell r="Q68">
            <v>161</v>
          </cell>
          <cell r="R68">
            <v>114</v>
          </cell>
          <cell r="T68">
            <v>612</v>
          </cell>
          <cell r="U68">
            <v>481</v>
          </cell>
          <cell r="W68">
            <v>148</v>
          </cell>
          <cell r="Y68">
            <v>160</v>
          </cell>
          <cell r="AA68">
            <v>49</v>
          </cell>
          <cell r="AB68">
            <v>49</v>
          </cell>
          <cell r="AD68">
            <v>60</v>
          </cell>
          <cell r="AE68">
            <v>28</v>
          </cell>
          <cell r="AJ68">
            <v>329</v>
          </cell>
          <cell r="AK68">
            <v>185</v>
          </cell>
          <cell r="AM68">
            <v>0</v>
          </cell>
          <cell r="AN68">
            <v>0</v>
          </cell>
          <cell r="AP68">
            <v>56</v>
          </cell>
          <cell r="AQ68">
            <v>17</v>
          </cell>
          <cell r="AS68">
            <v>27</v>
          </cell>
          <cell r="AT68">
            <v>51</v>
          </cell>
          <cell r="AV68">
            <v>0</v>
          </cell>
          <cell r="AW68">
            <v>0</v>
          </cell>
          <cell r="AY68">
            <v>36</v>
          </cell>
          <cell r="AZ68">
            <v>49</v>
          </cell>
          <cell r="BB68">
            <v>20</v>
          </cell>
          <cell r="BC68">
            <v>38</v>
          </cell>
          <cell r="BE68">
            <v>10</v>
          </cell>
          <cell r="BF68">
            <v>10</v>
          </cell>
          <cell r="BH68">
            <v>12</v>
          </cell>
          <cell r="BI68">
            <v>12</v>
          </cell>
          <cell r="BK68">
            <v>5</v>
          </cell>
          <cell r="BL68">
            <v>5</v>
          </cell>
          <cell r="BN68">
            <v>17</v>
          </cell>
          <cell r="BO68">
            <v>16</v>
          </cell>
          <cell r="BQ68">
            <v>5</v>
          </cell>
          <cell r="BR68">
            <v>3</v>
          </cell>
          <cell r="BT68">
            <v>13</v>
          </cell>
          <cell r="BU68">
            <v>11</v>
          </cell>
          <cell r="BW68">
            <v>0</v>
          </cell>
          <cell r="BX68">
            <v>0</v>
          </cell>
          <cell r="BZ68">
            <v>181</v>
          </cell>
          <cell r="CA68">
            <v>181</v>
          </cell>
          <cell r="CC68">
            <v>111</v>
          </cell>
          <cell r="CD68">
            <v>111</v>
          </cell>
          <cell r="CF68">
            <v>0</v>
          </cell>
          <cell r="CG68">
            <v>0</v>
          </cell>
        </row>
        <row r="69">
          <cell r="H69">
            <v>432</v>
          </cell>
          <cell r="I69">
            <v>354</v>
          </cell>
          <cell r="K69">
            <v>15</v>
          </cell>
          <cell r="L69">
            <v>13</v>
          </cell>
          <cell r="N69">
            <v>409</v>
          </cell>
          <cell r="O69">
            <v>409</v>
          </cell>
          <cell r="Q69">
            <v>350</v>
          </cell>
          <cell r="R69">
            <v>278</v>
          </cell>
          <cell r="T69">
            <v>1708</v>
          </cell>
          <cell r="U69">
            <v>1333</v>
          </cell>
          <cell r="W69">
            <v>608</v>
          </cell>
          <cell r="Y69">
            <v>382</v>
          </cell>
          <cell r="AA69">
            <v>241</v>
          </cell>
          <cell r="AB69">
            <v>241</v>
          </cell>
          <cell r="AD69">
            <v>206</v>
          </cell>
          <cell r="AE69">
            <v>164</v>
          </cell>
          <cell r="AJ69">
            <v>590</v>
          </cell>
          <cell r="AK69">
            <v>537</v>
          </cell>
          <cell r="AM69">
            <v>8</v>
          </cell>
          <cell r="AN69">
            <v>8</v>
          </cell>
          <cell r="AP69">
            <v>76</v>
          </cell>
          <cell r="AQ69">
            <v>68</v>
          </cell>
          <cell r="AS69">
            <v>27</v>
          </cell>
          <cell r="AT69">
            <v>20</v>
          </cell>
          <cell r="AV69">
            <v>0</v>
          </cell>
          <cell r="AW69">
            <v>0</v>
          </cell>
          <cell r="AY69">
            <v>52</v>
          </cell>
          <cell r="AZ69">
            <v>40</v>
          </cell>
          <cell r="BB69">
            <v>49</v>
          </cell>
          <cell r="BC69">
            <v>113</v>
          </cell>
          <cell r="BE69">
            <v>11</v>
          </cell>
          <cell r="BF69">
            <v>11</v>
          </cell>
          <cell r="BH69">
            <v>21</v>
          </cell>
          <cell r="BI69">
            <v>23</v>
          </cell>
          <cell r="BK69">
            <v>2</v>
          </cell>
          <cell r="BL69">
            <v>2</v>
          </cell>
          <cell r="BN69">
            <v>2</v>
          </cell>
          <cell r="BO69">
            <v>2</v>
          </cell>
          <cell r="BQ69">
            <v>2</v>
          </cell>
          <cell r="BR69">
            <v>4</v>
          </cell>
          <cell r="BT69">
            <v>3</v>
          </cell>
          <cell r="BU69">
            <v>3</v>
          </cell>
          <cell r="BW69">
            <v>1</v>
          </cell>
          <cell r="BX69">
            <v>1</v>
          </cell>
          <cell r="BZ69">
            <v>354</v>
          </cell>
          <cell r="CA69">
            <v>353</v>
          </cell>
          <cell r="CC69">
            <v>393</v>
          </cell>
          <cell r="CD69">
            <v>385</v>
          </cell>
          <cell r="CF69">
            <v>165</v>
          </cell>
          <cell r="CG69">
            <v>165</v>
          </cell>
        </row>
        <row r="70">
          <cell r="H70">
            <v>243</v>
          </cell>
          <cell r="I70">
            <v>230</v>
          </cell>
          <cell r="K70">
            <v>6</v>
          </cell>
          <cell r="L70">
            <v>6</v>
          </cell>
          <cell r="N70">
            <v>221</v>
          </cell>
          <cell r="O70">
            <v>221</v>
          </cell>
          <cell r="Q70">
            <v>157</v>
          </cell>
          <cell r="R70">
            <v>110</v>
          </cell>
          <cell r="T70">
            <v>1389</v>
          </cell>
          <cell r="U70">
            <v>1117</v>
          </cell>
          <cell r="W70">
            <v>392</v>
          </cell>
          <cell r="Y70">
            <v>259</v>
          </cell>
          <cell r="AA70">
            <v>64</v>
          </cell>
          <cell r="AB70">
            <v>64</v>
          </cell>
          <cell r="AD70">
            <v>40</v>
          </cell>
          <cell r="AE70">
            <v>32</v>
          </cell>
          <cell r="AJ70">
            <v>457</v>
          </cell>
          <cell r="AK70">
            <v>242</v>
          </cell>
          <cell r="AM70">
            <v>0</v>
          </cell>
          <cell r="AN70">
            <v>0</v>
          </cell>
          <cell r="AP70">
            <v>100</v>
          </cell>
          <cell r="AQ70">
            <v>43</v>
          </cell>
          <cell r="AS70">
            <v>15</v>
          </cell>
          <cell r="AT70">
            <v>12</v>
          </cell>
          <cell r="AV70">
            <v>0</v>
          </cell>
          <cell r="AW70">
            <v>0</v>
          </cell>
          <cell r="AY70">
            <v>41</v>
          </cell>
          <cell r="AZ70">
            <v>35</v>
          </cell>
          <cell r="BB70">
            <v>68</v>
          </cell>
          <cell r="BC70">
            <v>62</v>
          </cell>
          <cell r="BE70">
            <v>12</v>
          </cell>
          <cell r="BF70">
            <v>12</v>
          </cell>
          <cell r="BH70">
            <v>20</v>
          </cell>
          <cell r="BI70">
            <v>20</v>
          </cell>
          <cell r="BK70">
            <v>12</v>
          </cell>
          <cell r="BL70">
            <v>10</v>
          </cell>
          <cell r="BN70">
            <v>14</v>
          </cell>
          <cell r="BO70">
            <v>12</v>
          </cell>
          <cell r="BQ70">
            <v>13</v>
          </cell>
          <cell r="BR70">
            <v>8</v>
          </cell>
          <cell r="BT70">
            <v>15</v>
          </cell>
          <cell r="BU70">
            <v>15</v>
          </cell>
          <cell r="BW70">
            <v>0</v>
          </cell>
          <cell r="BX70">
            <v>0</v>
          </cell>
          <cell r="BZ70">
            <v>230</v>
          </cell>
          <cell r="CA70">
            <v>228</v>
          </cell>
          <cell r="CC70">
            <v>115</v>
          </cell>
          <cell r="CD70">
            <v>121</v>
          </cell>
          <cell r="CF70">
            <v>0</v>
          </cell>
          <cell r="CG70">
            <v>0</v>
          </cell>
        </row>
        <row r="71">
          <cell r="H71">
            <v>265</v>
          </cell>
          <cell r="I71">
            <v>198</v>
          </cell>
          <cell r="K71">
            <v>0</v>
          </cell>
          <cell r="L71">
            <v>0</v>
          </cell>
          <cell r="N71">
            <v>232</v>
          </cell>
          <cell r="O71">
            <v>232</v>
          </cell>
          <cell r="Q71">
            <v>140</v>
          </cell>
          <cell r="R71">
            <v>112</v>
          </cell>
          <cell r="T71">
            <v>1619</v>
          </cell>
          <cell r="U71">
            <v>1222</v>
          </cell>
          <cell r="W71">
            <v>326</v>
          </cell>
          <cell r="Y71">
            <v>272</v>
          </cell>
          <cell r="AA71">
            <v>67</v>
          </cell>
          <cell r="AB71">
            <v>67</v>
          </cell>
          <cell r="AD71">
            <v>39</v>
          </cell>
          <cell r="AE71">
            <v>26</v>
          </cell>
          <cell r="AJ71">
            <v>434</v>
          </cell>
          <cell r="AK71">
            <v>335</v>
          </cell>
          <cell r="AM71">
            <v>0</v>
          </cell>
          <cell r="AN71">
            <v>0</v>
          </cell>
          <cell r="AP71">
            <v>36</v>
          </cell>
          <cell r="AQ71">
            <v>23</v>
          </cell>
          <cell r="AS71">
            <v>11</v>
          </cell>
          <cell r="AT71">
            <v>8</v>
          </cell>
          <cell r="AV71">
            <v>0</v>
          </cell>
          <cell r="AW71">
            <v>0</v>
          </cell>
          <cell r="AY71">
            <v>15</v>
          </cell>
          <cell r="AZ71">
            <v>19</v>
          </cell>
          <cell r="BB71">
            <v>34</v>
          </cell>
          <cell r="BC71">
            <v>34</v>
          </cell>
          <cell r="BE71">
            <v>11</v>
          </cell>
          <cell r="BF71">
            <v>11</v>
          </cell>
          <cell r="BH71">
            <v>17</v>
          </cell>
          <cell r="BI71">
            <v>15</v>
          </cell>
          <cell r="BK71">
            <v>15</v>
          </cell>
          <cell r="BL71">
            <v>15</v>
          </cell>
          <cell r="BN71">
            <v>16</v>
          </cell>
          <cell r="BO71">
            <v>16</v>
          </cell>
          <cell r="BQ71">
            <v>1</v>
          </cell>
          <cell r="BR71">
            <v>1</v>
          </cell>
          <cell r="BT71">
            <v>6</v>
          </cell>
          <cell r="BU71">
            <v>6</v>
          </cell>
          <cell r="BW71">
            <v>0</v>
          </cell>
          <cell r="BX71">
            <v>0</v>
          </cell>
          <cell r="BZ71">
            <v>198</v>
          </cell>
          <cell r="CA71">
            <v>198</v>
          </cell>
          <cell r="CC71">
            <v>191</v>
          </cell>
          <cell r="CD71">
            <v>177</v>
          </cell>
          <cell r="CF71">
            <v>31</v>
          </cell>
          <cell r="CG71">
            <v>31</v>
          </cell>
        </row>
        <row r="72">
          <cell r="H72">
            <v>394</v>
          </cell>
          <cell r="I72">
            <v>296</v>
          </cell>
          <cell r="K72">
            <v>1</v>
          </cell>
          <cell r="L72">
            <v>1</v>
          </cell>
          <cell r="N72">
            <v>375</v>
          </cell>
          <cell r="O72">
            <v>375</v>
          </cell>
          <cell r="Q72">
            <v>245</v>
          </cell>
          <cell r="R72">
            <v>200</v>
          </cell>
          <cell r="T72">
            <v>1374</v>
          </cell>
          <cell r="U72">
            <v>1024</v>
          </cell>
          <cell r="W72">
            <v>347</v>
          </cell>
          <cell r="Y72">
            <v>314</v>
          </cell>
          <cell r="AA72">
            <v>42</v>
          </cell>
          <cell r="AB72">
            <v>42</v>
          </cell>
          <cell r="AD72">
            <v>171</v>
          </cell>
          <cell r="AE72">
            <v>78</v>
          </cell>
          <cell r="AJ72">
            <v>214</v>
          </cell>
          <cell r="AK72">
            <v>263</v>
          </cell>
          <cell r="AM72">
            <v>0</v>
          </cell>
          <cell r="AN72">
            <v>0</v>
          </cell>
          <cell r="AP72">
            <v>52</v>
          </cell>
          <cell r="AQ72">
            <v>38</v>
          </cell>
          <cell r="AS72">
            <v>10</v>
          </cell>
          <cell r="AT72">
            <v>10</v>
          </cell>
          <cell r="AV72">
            <v>0</v>
          </cell>
          <cell r="AW72">
            <v>0</v>
          </cell>
          <cell r="AY72">
            <v>21</v>
          </cell>
          <cell r="AZ72">
            <v>23</v>
          </cell>
          <cell r="BB72">
            <v>43</v>
          </cell>
          <cell r="BC72">
            <v>352</v>
          </cell>
          <cell r="BE72">
            <v>28</v>
          </cell>
          <cell r="BF72">
            <v>28</v>
          </cell>
          <cell r="BH72">
            <v>15</v>
          </cell>
          <cell r="BI72">
            <v>14</v>
          </cell>
          <cell r="BK72">
            <v>6</v>
          </cell>
          <cell r="BL72">
            <v>5</v>
          </cell>
          <cell r="BN72">
            <v>13</v>
          </cell>
          <cell r="BO72">
            <v>13</v>
          </cell>
          <cell r="BQ72">
            <v>14</v>
          </cell>
          <cell r="BR72">
            <v>14</v>
          </cell>
          <cell r="BT72">
            <v>9</v>
          </cell>
          <cell r="BU72">
            <v>9</v>
          </cell>
          <cell r="BW72">
            <v>0</v>
          </cell>
          <cell r="BX72">
            <v>0</v>
          </cell>
          <cell r="BZ72">
            <v>296</v>
          </cell>
          <cell r="CA72">
            <v>295</v>
          </cell>
          <cell r="CC72">
            <v>302</v>
          </cell>
          <cell r="CD72">
            <v>321</v>
          </cell>
          <cell r="CF72">
            <v>0</v>
          </cell>
          <cell r="CG72">
            <v>0</v>
          </cell>
        </row>
        <row r="73">
          <cell r="H73">
            <v>212</v>
          </cell>
          <cell r="I73">
            <v>172</v>
          </cell>
          <cell r="K73">
            <v>10</v>
          </cell>
          <cell r="L73">
            <v>10</v>
          </cell>
          <cell r="N73">
            <v>168</v>
          </cell>
          <cell r="O73">
            <v>168</v>
          </cell>
          <cell r="Q73">
            <v>97</v>
          </cell>
          <cell r="R73">
            <v>77</v>
          </cell>
          <cell r="T73">
            <v>848</v>
          </cell>
          <cell r="U73">
            <v>629</v>
          </cell>
          <cell r="W73">
            <v>354</v>
          </cell>
          <cell r="Y73">
            <v>194</v>
          </cell>
          <cell r="AA73">
            <v>68</v>
          </cell>
          <cell r="AB73">
            <v>68</v>
          </cell>
          <cell r="AD73">
            <v>38</v>
          </cell>
          <cell r="AE73">
            <v>25</v>
          </cell>
          <cell r="AJ73">
            <v>304</v>
          </cell>
          <cell r="AK73">
            <v>316</v>
          </cell>
          <cell r="AM73">
            <v>0</v>
          </cell>
          <cell r="AN73">
            <v>0</v>
          </cell>
          <cell r="AP73">
            <v>40</v>
          </cell>
          <cell r="AQ73">
            <v>30</v>
          </cell>
          <cell r="AS73">
            <v>15</v>
          </cell>
          <cell r="AT73">
            <v>10</v>
          </cell>
          <cell r="AV73">
            <v>0</v>
          </cell>
          <cell r="AW73">
            <v>0</v>
          </cell>
          <cell r="AY73">
            <v>27</v>
          </cell>
          <cell r="AZ73">
            <v>12</v>
          </cell>
          <cell r="BB73">
            <v>12</v>
          </cell>
          <cell r="BC73">
            <v>93</v>
          </cell>
          <cell r="BE73">
            <v>9</v>
          </cell>
          <cell r="BF73">
            <v>9</v>
          </cell>
          <cell r="BH73">
            <v>30</v>
          </cell>
          <cell r="BI73">
            <v>28</v>
          </cell>
          <cell r="BK73">
            <v>0</v>
          </cell>
          <cell r="BL73">
            <v>0</v>
          </cell>
          <cell r="BN73">
            <v>4</v>
          </cell>
          <cell r="BO73">
            <v>4</v>
          </cell>
          <cell r="BQ73">
            <v>0</v>
          </cell>
          <cell r="BR73">
            <v>0</v>
          </cell>
          <cell r="BT73">
            <v>2</v>
          </cell>
          <cell r="BU73">
            <v>1</v>
          </cell>
          <cell r="BW73">
            <v>0</v>
          </cell>
          <cell r="BX73">
            <v>0</v>
          </cell>
          <cell r="BZ73">
            <v>172</v>
          </cell>
          <cell r="CA73">
            <v>172</v>
          </cell>
          <cell r="CC73">
            <v>177</v>
          </cell>
          <cell r="CD73">
            <v>180</v>
          </cell>
          <cell r="CF73">
            <v>50</v>
          </cell>
          <cell r="CG73">
            <v>50</v>
          </cell>
        </row>
        <row r="74">
          <cell r="H74">
            <v>323</v>
          </cell>
          <cell r="I74">
            <v>228</v>
          </cell>
          <cell r="K74">
            <v>1</v>
          </cell>
          <cell r="L74">
            <v>1</v>
          </cell>
          <cell r="N74">
            <v>301</v>
          </cell>
          <cell r="O74">
            <v>301</v>
          </cell>
          <cell r="Q74">
            <v>231</v>
          </cell>
          <cell r="R74">
            <v>202</v>
          </cell>
          <cell r="T74">
            <v>1281</v>
          </cell>
          <cell r="U74">
            <v>1009</v>
          </cell>
          <cell r="W74">
            <v>603</v>
          </cell>
          <cell r="Y74">
            <v>286</v>
          </cell>
          <cell r="AA74">
            <v>47</v>
          </cell>
          <cell r="AB74">
            <v>47</v>
          </cell>
          <cell r="AD74">
            <v>33</v>
          </cell>
          <cell r="AE74">
            <v>21</v>
          </cell>
          <cell r="AJ74">
            <v>766</v>
          </cell>
          <cell r="AK74">
            <v>678</v>
          </cell>
          <cell r="AM74">
            <v>0</v>
          </cell>
          <cell r="AN74">
            <v>0</v>
          </cell>
          <cell r="AP74">
            <v>57</v>
          </cell>
          <cell r="AQ74">
            <v>66</v>
          </cell>
          <cell r="AS74">
            <v>49</v>
          </cell>
          <cell r="AT74">
            <v>39</v>
          </cell>
          <cell r="AV74">
            <v>0</v>
          </cell>
          <cell r="AW74">
            <v>0</v>
          </cell>
          <cell r="AY74">
            <v>52</v>
          </cell>
          <cell r="AZ74">
            <v>38</v>
          </cell>
          <cell r="BB74">
            <v>57</v>
          </cell>
          <cell r="BC74">
            <v>437</v>
          </cell>
          <cell r="BE74">
            <v>20</v>
          </cell>
          <cell r="BF74">
            <v>20</v>
          </cell>
          <cell r="BH74">
            <v>60</v>
          </cell>
          <cell r="BI74">
            <v>57</v>
          </cell>
          <cell r="BK74">
            <v>33</v>
          </cell>
          <cell r="BL74">
            <v>31</v>
          </cell>
          <cell r="BN74">
            <v>41</v>
          </cell>
          <cell r="BO74">
            <v>40</v>
          </cell>
          <cell r="BQ74">
            <v>24</v>
          </cell>
          <cell r="BR74">
            <v>17</v>
          </cell>
          <cell r="BT74">
            <v>18</v>
          </cell>
          <cell r="BU74">
            <v>8</v>
          </cell>
          <cell r="BW74">
            <v>0</v>
          </cell>
          <cell r="BX74">
            <v>0</v>
          </cell>
          <cell r="BZ74">
            <v>228</v>
          </cell>
          <cell r="CA74">
            <v>228</v>
          </cell>
          <cell r="CC74">
            <v>252</v>
          </cell>
          <cell r="CD74">
            <v>271</v>
          </cell>
          <cell r="CF74">
            <v>20</v>
          </cell>
          <cell r="CG74">
            <v>20</v>
          </cell>
        </row>
        <row r="75">
          <cell r="H75">
            <v>75</v>
          </cell>
          <cell r="I75">
            <v>63</v>
          </cell>
          <cell r="K75">
            <v>0</v>
          </cell>
          <cell r="L75">
            <v>0</v>
          </cell>
          <cell r="N75">
            <v>59</v>
          </cell>
          <cell r="O75">
            <v>59</v>
          </cell>
          <cell r="Q75">
            <v>63</v>
          </cell>
          <cell r="R75">
            <v>51</v>
          </cell>
          <cell r="T75">
            <v>453</v>
          </cell>
          <cell r="U75">
            <v>378</v>
          </cell>
          <cell r="W75">
            <v>107</v>
          </cell>
          <cell r="Y75">
            <v>75</v>
          </cell>
          <cell r="AA75">
            <v>58</v>
          </cell>
          <cell r="AB75">
            <v>58</v>
          </cell>
          <cell r="AD75">
            <v>58</v>
          </cell>
          <cell r="AE75">
            <v>39</v>
          </cell>
          <cell r="AJ75">
            <v>369</v>
          </cell>
          <cell r="AK75">
            <v>356</v>
          </cell>
          <cell r="AM75">
            <v>0</v>
          </cell>
          <cell r="AN75">
            <v>0</v>
          </cell>
          <cell r="AP75">
            <v>0</v>
          </cell>
          <cell r="AQ75">
            <v>2</v>
          </cell>
          <cell r="AS75">
            <v>2</v>
          </cell>
          <cell r="AT75">
            <v>2</v>
          </cell>
          <cell r="AV75">
            <v>0</v>
          </cell>
          <cell r="AW75">
            <v>0</v>
          </cell>
          <cell r="AY75">
            <v>4</v>
          </cell>
          <cell r="AZ75">
            <v>4</v>
          </cell>
          <cell r="BB75">
            <v>89</v>
          </cell>
          <cell r="BC75">
            <v>75</v>
          </cell>
          <cell r="BE75">
            <v>4</v>
          </cell>
          <cell r="BF75">
            <v>4</v>
          </cell>
          <cell r="BH75">
            <v>2</v>
          </cell>
          <cell r="BI75">
            <v>2</v>
          </cell>
          <cell r="BK75">
            <v>4</v>
          </cell>
          <cell r="BL75">
            <v>4</v>
          </cell>
          <cell r="BN75">
            <v>5</v>
          </cell>
          <cell r="BO75">
            <v>5</v>
          </cell>
          <cell r="BQ75">
            <v>3</v>
          </cell>
          <cell r="BR75">
            <v>3</v>
          </cell>
          <cell r="BT75">
            <v>4</v>
          </cell>
          <cell r="BU75">
            <v>5</v>
          </cell>
          <cell r="BW75">
            <v>0</v>
          </cell>
          <cell r="BX75">
            <v>0</v>
          </cell>
          <cell r="BZ75">
            <v>63</v>
          </cell>
          <cell r="CA75">
            <v>63</v>
          </cell>
          <cell r="CC75">
            <v>65</v>
          </cell>
          <cell r="CD75">
            <v>73</v>
          </cell>
          <cell r="CF75">
            <v>2</v>
          </cell>
          <cell r="CG75">
            <v>2</v>
          </cell>
        </row>
        <row r="76">
          <cell r="H76">
            <v>166</v>
          </cell>
          <cell r="I76">
            <v>140</v>
          </cell>
          <cell r="K76">
            <v>0</v>
          </cell>
          <cell r="L76">
            <v>0</v>
          </cell>
          <cell r="N76">
            <v>140</v>
          </cell>
          <cell r="O76">
            <v>140</v>
          </cell>
          <cell r="Q76">
            <v>123</v>
          </cell>
          <cell r="R76">
            <v>111</v>
          </cell>
          <cell r="T76">
            <v>932</v>
          </cell>
          <cell r="U76">
            <v>725</v>
          </cell>
          <cell r="W76">
            <v>244</v>
          </cell>
          <cell r="Y76">
            <v>200</v>
          </cell>
          <cell r="AA76">
            <v>40</v>
          </cell>
          <cell r="AB76">
            <v>40</v>
          </cell>
          <cell r="AD76">
            <v>42</v>
          </cell>
          <cell r="AE76">
            <v>25</v>
          </cell>
          <cell r="AJ76">
            <v>660</v>
          </cell>
          <cell r="AK76">
            <v>559</v>
          </cell>
          <cell r="AM76">
            <v>0</v>
          </cell>
          <cell r="AN76">
            <v>0</v>
          </cell>
          <cell r="AP76">
            <v>35</v>
          </cell>
          <cell r="AQ76">
            <v>29</v>
          </cell>
          <cell r="AS76">
            <v>43</v>
          </cell>
          <cell r="AT76">
            <v>52</v>
          </cell>
          <cell r="AV76">
            <v>0</v>
          </cell>
          <cell r="AW76">
            <v>0</v>
          </cell>
          <cell r="AY76">
            <v>42</v>
          </cell>
          <cell r="AZ76">
            <v>52</v>
          </cell>
          <cell r="BB76">
            <v>61</v>
          </cell>
          <cell r="BC76">
            <v>166</v>
          </cell>
          <cell r="BE76">
            <v>7</v>
          </cell>
          <cell r="BF76">
            <v>7</v>
          </cell>
          <cell r="BH76">
            <v>14</v>
          </cell>
          <cell r="BI76">
            <v>14</v>
          </cell>
          <cell r="BK76">
            <v>10</v>
          </cell>
          <cell r="BL76">
            <v>10</v>
          </cell>
          <cell r="BN76">
            <v>8</v>
          </cell>
          <cell r="BO76">
            <v>6</v>
          </cell>
          <cell r="BQ76">
            <v>8</v>
          </cell>
          <cell r="BR76">
            <v>6</v>
          </cell>
          <cell r="BT76">
            <v>10</v>
          </cell>
          <cell r="BU76">
            <v>8</v>
          </cell>
          <cell r="BW76">
            <v>0</v>
          </cell>
          <cell r="BX76">
            <v>0</v>
          </cell>
          <cell r="BZ76">
            <v>140</v>
          </cell>
          <cell r="CA76">
            <v>140</v>
          </cell>
          <cell r="CC76">
            <v>178</v>
          </cell>
          <cell r="CD76">
            <v>191</v>
          </cell>
          <cell r="CF76">
            <v>0</v>
          </cell>
          <cell r="CG76">
            <v>0</v>
          </cell>
        </row>
        <row r="77">
          <cell r="H77">
            <v>100</v>
          </cell>
          <cell r="I77">
            <v>114</v>
          </cell>
          <cell r="K77">
            <v>0</v>
          </cell>
          <cell r="L77">
            <v>0</v>
          </cell>
          <cell r="N77">
            <v>85</v>
          </cell>
          <cell r="O77">
            <v>85</v>
          </cell>
          <cell r="Q77">
            <v>106</v>
          </cell>
          <cell r="R77">
            <v>96</v>
          </cell>
          <cell r="T77">
            <v>978</v>
          </cell>
          <cell r="U77">
            <v>836</v>
          </cell>
          <cell r="W77">
            <v>147</v>
          </cell>
          <cell r="Y77">
            <v>145</v>
          </cell>
          <cell r="AA77">
            <v>45</v>
          </cell>
          <cell r="AB77">
            <v>45</v>
          </cell>
          <cell r="AD77">
            <v>76</v>
          </cell>
          <cell r="AE77">
            <v>57</v>
          </cell>
          <cell r="AJ77">
            <v>296</v>
          </cell>
          <cell r="AK77">
            <v>175</v>
          </cell>
          <cell r="AM77">
            <v>0</v>
          </cell>
          <cell r="AN77">
            <v>0</v>
          </cell>
          <cell r="AP77">
            <v>15</v>
          </cell>
          <cell r="AQ77">
            <v>10</v>
          </cell>
          <cell r="AS77">
            <v>41</v>
          </cell>
          <cell r="AT77">
            <v>41</v>
          </cell>
          <cell r="AV77">
            <v>0</v>
          </cell>
          <cell r="AW77">
            <v>0</v>
          </cell>
          <cell r="AY77">
            <v>25</v>
          </cell>
          <cell r="AZ77">
            <v>25</v>
          </cell>
          <cell r="BB77">
            <v>5</v>
          </cell>
          <cell r="BC77">
            <v>48</v>
          </cell>
          <cell r="BE77">
            <v>4</v>
          </cell>
          <cell r="BF77">
            <v>4</v>
          </cell>
          <cell r="BH77">
            <v>9</v>
          </cell>
          <cell r="BI77">
            <v>9</v>
          </cell>
          <cell r="BK77">
            <v>7</v>
          </cell>
          <cell r="BL77">
            <v>7</v>
          </cell>
          <cell r="BN77">
            <v>7</v>
          </cell>
          <cell r="BO77">
            <v>7</v>
          </cell>
          <cell r="BQ77">
            <v>5</v>
          </cell>
          <cell r="BR77">
            <v>5</v>
          </cell>
          <cell r="BT77">
            <v>4</v>
          </cell>
          <cell r="BU77">
            <v>4</v>
          </cell>
          <cell r="BW77">
            <v>0</v>
          </cell>
          <cell r="BX77">
            <v>0</v>
          </cell>
          <cell r="BZ77">
            <v>114</v>
          </cell>
          <cell r="CA77">
            <v>124</v>
          </cell>
          <cell r="CC77">
            <v>22</v>
          </cell>
          <cell r="CD77">
            <v>24</v>
          </cell>
          <cell r="CF77">
            <v>0</v>
          </cell>
          <cell r="CG77">
            <v>0</v>
          </cell>
        </row>
        <row r="78">
          <cell r="H78">
            <v>405</v>
          </cell>
          <cell r="I78">
            <v>286</v>
          </cell>
          <cell r="K78">
            <v>16</v>
          </cell>
          <cell r="L78">
            <v>20</v>
          </cell>
          <cell r="N78">
            <v>311</v>
          </cell>
          <cell r="O78">
            <v>311</v>
          </cell>
          <cell r="Q78">
            <v>301</v>
          </cell>
          <cell r="R78">
            <v>239</v>
          </cell>
          <cell r="T78">
            <v>1097</v>
          </cell>
          <cell r="U78">
            <v>790</v>
          </cell>
          <cell r="W78">
            <v>375</v>
          </cell>
          <cell r="Y78">
            <v>259</v>
          </cell>
          <cell r="AA78">
            <v>120</v>
          </cell>
          <cell r="AB78">
            <v>120</v>
          </cell>
          <cell r="AD78">
            <v>89</v>
          </cell>
          <cell r="AE78">
            <v>32</v>
          </cell>
          <cell r="AJ78">
            <v>872</v>
          </cell>
          <cell r="AK78">
            <v>522</v>
          </cell>
          <cell r="AM78">
            <v>0</v>
          </cell>
          <cell r="AN78">
            <v>0</v>
          </cell>
          <cell r="AP78">
            <v>106</v>
          </cell>
          <cell r="AQ78">
            <v>47</v>
          </cell>
          <cell r="AS78">
            <v>17</v>
          </cell>
          <cell r="AT78">
            <v>17</v>
          </cell>
          <cell r="AV78">
            <v>1</v>
          </cell>
          <cell r="AW78">
            <v>1</v>
          </cell>
          <cell r="AY78">
            <v>13</v>
          </cell>
          <cell r="AZ78">
            <v>13</v>
          </cell>
          <cell r="BB78">
            <v>69</v>
          </cell>
          <cell r="BC78">
            <v>36</v>
          </cell>
          <cell r="BE78">
            <v>21</v>
          </cell>
          <cell r="BF78">
            <v>21</v>
          </cell>
          <cell r="BH78">
            <v>14</v>
          </cell>
          <cell r="BI78">
            <v>13</v>
          </cell>
          <cell r="BK78">
            <v>5</v>
          </cell>
          <cell r="BL78">
            <v>5</v>
          </cell>
          <cell r="BN78">
            <v>8</v>
          </cell>
          <cell r="BO78">
            <v>8</v>
          </cell>
          <cell r="BQ78">
            <v>2</v>
          </cell>
          <cell r="BR78">
            <v>2</v>
          </cell>
          <cell r="BT78">
            <v>1</v>
          </cell>
          <cell r="BU78">
            <v>0</v>
          </cell>
          <cell r="BW78">
            <v>0</v>
          </cell>
          <cell r="BX78">
            <v>0</v>
          </cell>
          <cell r="BZ78">
            <v>286</v>
          </cell>
          <cell r="CA78">
            <v>286</v>
          </cell>
          <cell r="CC78">
            <v>184</v>
          </cell>
          <cell r="CD78">
            <v>185</v>
          </cell>
          <cell r="CF78">
            <v>0</v>
          </cell>
          <cell r="CG78">
            <v>0</v>
          </cell>
        </row>
        <row r="79">
          <cell r="H79">
            <v>209</v>
          </cell>
          <cell r="I79">
            <v>176</v>
          </cell>
          <cell r="K79">
            <v>1</v>
          </cell>
          <cell r="L79">
            <v>1</v>
          </cell>
          <cell r="N79">
            <v>195</v>
          </cell>
          <cell r="O79">
            <v>195</v>
          </cell>
          <cell r="Q79">
            <v>144</v>
          </cell>
          <cell r="R79">
            <v>128</v>
          </cell>
          <cell r="T79">
            <v>1427</v>
          </cell>
          <cell r="U79">
            <v>1120</v>
          </cell>
          <cell r="W79">
            <v>356</v>
          </cell>
          <cell r="Y79">
            <v>361</v>
          </cell>
          <cell r="AA79">
            <v>75</v>
          </cell>
          <cell r="AB79">
            <v>75</v>
          </cell>
          <cell r="AD79">
            <v>53</v>
          </cell>
          <cell r="AE79">
            <v>49</v>
          </cell>
          <cell r="AJ79">
            <v>650</v>
          </cell>
          <cell r="AK79">
            <v>653</v>
          </cell>
          <cell r="AM79">
            <v>6</v>
          </cell>
          <cell r="AN79">
            <v>6</v>
          </cell>
          <cell r="AP79">
            <v>112</v>
          </cell>
          <cell r="AQ79">
            <v>111</v>
          </cell>
          <cell r="AS79">
            <v>9</v>
          </cell>
          <cell r="AT79">
            <v>8</v>
          </cell>
          <cell r="AV79">
            <v>0</v>
          </cell>
          <cell r="AW79">
            <v>0</v>
          </cell>
          <cell r="AY79">
            <v>5</v>
          </cell>
          <cell r="AZ79">
            <v>3</v>
          </cell>
          <cell r="BB79">
            <v>35</v>
          </cell>
          <cell r="BC79">
            <v>36</v>
          </cell>
          <cell r="BE79">
            <v>9</v>
          </cell>
          <cell r="BF79">
            <v>9</v>
          </cell>
          <cell r="BH79">
            <v>7</v>
          </cell>
          <cell r="BI79">
            <v>7</v>
          </cell>
          <cell r="BK79">
            <v>4</v>
          </cell>
          <cell r="BL79">
            <v>4</v>
          </cell>
          <cell r="BN79">
            <v>0</v>
          </cell>
          <cell r="BO79">
            <v>0</v>
          </cell>
          <cell r="BQ79">
            <v>0</v>
          </cell>
          <cell r="BR79">
            <v>0</v>
          </cell>
          <cell r="BT79">
            <v>2</v>
          </cell>
          <cell r="BU79">
            <v>2</v>
          </cell>
          <cell r="BW79">
            <v>0</v>
          </cell>
          <cell r="BX79">
            <v>0</v>
          </cell>
          <cell r="BZ79">
            <v>176</v>
          </cell>
          <cell r="CA79">
            <v>176</v>
          </cell>
          <cell r="CC79">
            <v>112</v>
          </cell>
          <cell r="CD79">
            <v>112</v>
          </cell>
          <cell r="CF79">
            <v>3</v>
          </cell>
          <cell r="CG79">
            <v>3</v>
          </cell>
        </row>
        <row r="80">
          <cell r="H80">
            <v>899</v>
          </cell>
          <cell r="I80">
            <v>797</v>
          </cell>
          <cell r="K80">
            <v>28</v>
          </cell>
          <cell r="L80">
            <v>3</v>
          </cell>
          <cell r="N80">
            <v>830</v>
          </cell>
          <cell r="O80">
            <v>830</v>
          </cell>
          <cell r="Q80">
            <v>534</v>
          </cell>
          <cell r="R80">
            <v>410</v>
          </cell>
          <cell r="T80">
            <v>1662</v>
          </cell>
          <cell r="U80">
            <v>1140</v>
          </cell>
          <cell r="W80">
            <v>822</v>
          </cell>
          <cell r="Y80">
            <v>550</v>
          </cell>
          <cell r="AA80">
            <v>294</v>
          </cell>
          <cell r="AB80">
            <v>294</v>
          </cell>
          <cell r="AD80">
            <v>297</v>
          </cell>
          <cell r="AE80">
            <v>202</v>
          </cell>
          <cell r="AJ80">
            <v>884</v>
          </cell>
          <cell r="AK80">
            <v>861</v>
          </cell>
          <cell r="AM80">
            <v>4</v>
          </cell>
          <cell r="AN80">
            <v>4</v>
          </cell>
          <cell r="AP80">
            <v>17</v>
          </cell>
          <cell r="AQ80">
            <v>27</v>
          </cell>
          <cell r="AS80">
            <v>169</v>
          </cell>
          <cell r="AT80">
            <v>165</v>
          </cell>
          <cell r="AV80">
            <v>4</v>
          </cell>
          <cell r="AW80">
            <v>4</v>
          </cell>
          <cell r="AY80">
            <v>122</v>
          </cell>
          <cell r="AZ80">
            <v>120</v>
          </cell>
          <cell r="BB80">
            <v>43</v>
          </cell>
          <cell r="BC80">
            <v>171</v>
          </cell>
          <cell r="BE80">
            <v>46</v>
          </cell>
          <cell r="BF80">
            <v>46</v>
          </cell>
          <cell r="BH80">
            <v>42</v>
          </cell>
          <cell r="BI80">
            <v>43</v>
          </cell>
          <cell r="BK80">
            <v>13</v>
          </cell>
          <cell r="BL80">
            <v>13</v>
          </cell>
          <cell r="BN80">
            <v>16</v>
          </cell>
          <cell r="BO80">
            <v>16</v>
          </cell>
          <cell r="BQ80">
            <v>7</v>
          </cell>
          <cell r="BR80">
            <v>7</v>
          </cell>
          <cell r="BT80">
            <v>6</v>
          </cell>
          <cell r="BU80">
            <v>6</v>
          </cell>
          <cell r="BW80">
            <v>2</v>
          </cell>
          <cell r="BX80">
            <v>2</v>
          </cell>
          <cell r="BZ80">
            <v>797</v>
          </cell>
          <cell r="CA80">
            <v>797</v>
          </cell>
          <cell r="CC80">
            <v>537</v>
          </cell>
          <cell r="CD80">
            <v>576</v>
          </cell>
          <cell r="CF80">
            <v>10</v>
          </cell>
          <cell r="CG80">
            <v>10</v>
          </cell>
        </row>
        <row r="81">
          <cell r="H81">
            <v>487</v>
          </cell>
          <cell r="I81">
            <v>417</v>
          </cell>
          <cell r="K81">
            <v>29</v>
          </cell>
          <cell r="L81">
            <v>22</v>
          </cell>
          <cell r="N81">
            <v>488</v>
          </cell>
          <cell r="O81">
            <v>488</v>
          </cell>
          <cell r="Q81">
            <v>378</v>
          </cell>
          <cell r="R81">
            <v>328</v>
          </cell>
          <cell r="T81">
            <v>1692</v>
          </cell>
          <cell r="U81">
            <v>1354</v>
          </cell>
          <cell r="W81">
            <v>695</v>
          </cell>
          <cell r="Y81">
            <v>564</v>
          </cell>
          <cell r="AA81">
            <v>299</v>
          </cell>
          <cell r="AB81">
            <v>299</v>
          </cell>
          <cell r="AD81">
            <v>216</v>
          </cell>
          <cell r="AE81">
            <v>193</v>
          </cell>
          <cell r="AJ81">
            <v>989</v>
          </cell>
          <cell r="AK81">
            <v>879</v>
          </cell>
          <cell r="AM81">
            <v>23</v>
          </cell>
          <cell r="AN81">
            <v>20</v>
          </cell>
          <cell r="AP81">
            <v>80</v>
          </cell>
          <cell r="AQ81">
            <v>78</v>
          </cell>
          <cell r="AS81">
            <v>37</v>
          </cell>
          <cell r="AT81">
            <v>36</v>
          </cell>
          <cell r="AV81">
            <v>0</v>
          </cell>
          <cell r="AW81">
            <v>0</v>
          </cell>
          <cell r="AY81">
            <v>63</v>
          </cell>
          <cell r="AZ81">
            <v>68</v>
          </cell>
          <cell r="BB81">
            <v>85</v>
          </cell>
          <cell r="BC81">
            <v>118</v>
          </cell>
          <cell r="BE81">
            <v>18</v>
          </cell>
          <cell r="BF81">
            <v>18</v>
          </cell>
          <cell r="BH81">
            <v>20</v>
          </cell>
          <cell r="BI81">
            <v>19</v>
          </cell>
          <cell r="BK81">
            <v>21</v>
          </cell>
          <cell r="BL81">
            <v>21</v>
          </cell>
          <cell r="BN81">
            <v>23</v>
          </cell>
          <cell r="BO81">
            <v>23</v>
          </cell>
          <cell r="BQ81">
            <v>19</v>
          </cell>
          <cell r="BR81">
            <v>17</v>
          </cell>
          <cell r="BT81">
            <v>31</v>
          </cell>
          <cell r="BU81">
            <v>31</v>
          </cell>
          <cell r="BW81">
            <v>0</v>
          </cell>
          <cell r="BX81">
            <v>0</v>
          </cell>
          <cell r="BZ81">
            <v>417</v>
          </cell>
          <cell r="CA81">
            <v>417</v>
          </cell>
          <cell r="CC81">
            <v>427</v>
          </cell>
          <cell r="CD81">
            <v>472</v>
          </cell>
          <cell r="CF81">
            <v>184</v>
          </cell>
          <cell r="CG81">
            <v>184</v>
          </cell>
        </row>
        <row r="82">
          <cell r="H82">
            <v>99</v>
          </cell>
          <cell r="I82">
            <v>1235</v>
          </cell>
          <cell r="K82">
            <v>0</v>
          </cell>
          <cell r="L82">
            <v>0</v>
          </cell>
          <cell r="N82">
            <v>127</v>
          </cell>
          <cell r="O82">
            <v>127</v>
          </cell>
          <cell r="Q82">
            <v>92</v>
          </cell>
          <cell r="R82">
            <v>74</v>
          </cell>
          <cell r="T82">
            <v>981</v>
          </cell>
          <cell r="U82">
            <v>835</v>
          </cell>
          <cell r="W82">
            <v>154</v>
          </cell>
          <cell r="Y82">
            <v>113</v>
          </cell>
          <cell r="AA82">
            <v>69</v>
          </cell>
          <cell r="AB82">
            <v>69</v>
          </cell>
          <cell r="AD82">
            <v>107</v>
          </cell>
          <cell r="AE82">
            <v>71</v>
          </cell>
          <cell r="AJ82">
            <v>249</v>
          </cell>
          <cell r="AK82">
            <v>229</v>
          </cell>
          <cell r="AM82">
            <v>0</v>
          </cell>
          <cell r="AN82">
            <v>0</v>
          </cell>
          <cell r="AP82">
            <v>13</v>
          </cell>
          <cell r="AQ82">
            <v>4</v>
          </cell>
          <cell r="AS82">
            <v>19</v>
          </cell>
          <cell r="AT82">
            <v>18</v>
          </cell>
          <cell r="AV82">
            <v>0</v>
          </cell>
          <cell r="AW82">
            <v>0</v>
          </cell>
          <cell r="AY82">
            <v>8</v>
          </cell>
          <cell r="AZ82">
            <v>8</v>
          </cell>
          <cell r="BB82">
            <v>21</v>
          </cell>
          <cell r="BC82">
            <v>21</v>
          </cell>
          <cell r="BE82">
            <v>0</v>
          </cell>
          <cell r="BF82">
            <v>0</v>
          </cell>
          <cell r="BH82">
            <v>7</v>
          </cell>
          <cell r="BI82">
            <v>6</v>
          </cell>
          <cell r="BK82">
            <v>10</v>
          </cell>
          <cell r="BL82">
            <v>10</v>
          </cell>
          <cell r="BN82">
            <v>17</v>
          </cell>
          <cell r="BO82">
            <v>17</v>
          </cell>
          <cell r="BQ82">
            <v>15</v>
          </cell>
          <cell r="BR82">
            <v>14</v>
          </cell>
          <cell r="BT82">
            <v>17</v>
          </cell>
          <cell r="BU82">
            <v>16</v>
          </cell>
          <cell r="BW82">
            <v>2</v>
          </cell>
          <cell r="BX82">
            <v>2</v>
          </cell>
          <cell r="BZ82">
            <v>1235</v>
          </cell>
          <cell r="CA82">
            <v>1238</v>
          </cell>
          <cell r="CC82">
            <v>10</v>
          </cell>
          <cell r="CD82">
            <v>10</v>
          </cell>
          <cell r="CF82">
            <v>0</v>
          </cell>
          <cell r="CG82">
            <v>0</v>
          </cell>
        </row>
      </sheetData>
      <sheetData sheetId="9"/>
      <sheetData sheetId="10"/>
      <sheetData sheetId="11"/>
      <sheetData sheetId="12">
        <row r="7">
          <cell r="A7">
            <v>1</v>
          </cell>
          <cell r="B7" t="str">
            <v>CHRI</v>
          </cell>
          <cell r="C7" t="str">
            <v>Arunachal Pradesh</v>
          </cell>
          <cell r="D7" t="str">
            <v>ASSAM NETWORK OF POSITIVE PEOPLE(ANP+), DIBRUGARH</v>
          </cell>
          <cell r="E7" t="str">
            <v>PAPUM PARE, NAMSAI</v>
          </cell>
          <cell r="H7">
            <v>74</v>
          </cell>
          <cell r="I7">
            <v>64</v>
          </cell>
          <cell r="K7">
            <v>0</v>
          </cell>
          <cell r="L7">
            <v>0</v>
          </cell>
          <cell r="N7">
            <v>67</v>
          </cell>
          <cell r="O7">
            <v>67</v>
          </cell>
          <cell r="Q7">
            <v>42</v>
          </cell>
          <cell r="R7">
            <v>42</v>
          </cell>
          <cell r="T7">
            <v>485</v>
          </cell>
          <cell r="U7">
            <v>151</v>
          </cell>
          <cell r="W7">
            <v>215</v>
          </cell>
          <cell r="Y7">
            <v>105</v>
          </cell>
          <cell r="AA7">
            <v>15</v>
          </cell>
          <cell r="AB7">
            <v>12</v>
          </cell>
          <cell r="AD7">
            <v>0</v>
          </cell>
          <cell r="AE7">
            <v>0</v>
          </cell>
          <cell r="AJ7">
            <v>352</v>
          </cell>
          <cell r="AK7">
            <v>195</v>
          </cell>
          <cell r="AM7">
            <v>0</v>
          </cell>
          <cell r="AN7">
            <v>0</v>
          </cell>
          <cell r="AP7">
            <v>30</v>
          </cell>
          <cell r="AQ7">
            <v>14</v>
          </cell>
          <cell r="AS7">
            <v>59</v>
          </cell>
          <cell r="AT7">
            <v>56</v>
          </cell>
          <cell r="AV7">
            <v>5</v>
          </cell>
          <cell r="AW7">
            <v>5</v>
          </cell>
          <cell r="AY7">
            <v>21</v>
          </cell>
          <cell r="AZ7">
            <v>21</v>
          </cell>
          <cell r="BB7">
            <v>0</v>
          </cell>
          <cell r="BC7">
            <v>0</v>
          </cell>
          <cell r="BE7">
            <v>0</v>
          </cell>
          <cell r="BF7">
            <v>0</v>
          </cell>
          <cell r="BH7">
            <v>2</v>
          </cell>
          <cell r="BI7">
            <v>2</v>
          </cell>
          <cell r="BK7">
            <v>0</v>
          </cell>
          <cell r="BL7">
            <v>0</v>
          </cell>
          <cell r="BN7">
            <v>0</v>
          </cell>
          <cell r="BO7">
            <v>0</v>
          </cell>
          <cell r="BQ7">
            <v>0</v>
          </cell>
          <cell r="BR7">
            <v>0</v>
          </cell>
          <cell r="BT7">
            <v>0</v>
          </cell>
          <cell r="BU7">
            <v>0</v>
          </cell>
          <cell r="BW7">
            <v>0</v>
          </cell>
          <cell r="BX7">
            <v>0</v>
          </cell>
          <cell r="BZ7">
            <v>64</v>
          </cell>
          <cell r="CA7">
            <v>42</v>
          </cell>
          <cell r="CC7">
            <v>4</v>
          </cell>
          <cell r="CD7">
            <v>1</v>
          </cell>
          <cell r="CF7">
            <v>0</v>
          </cell>
          <cell r="CG7">
            <v>0</v>
          </cell>
        </row>
        <row r="8">
          <cell r="A8">
            <v>2</v>
          </cell>
          <cell r="B8" t="str">
            <v>CHRI</v>
          </cell>
          <cell r="C8" t="str">
            <v>Assam</v>
          </cell>
          <cell r="D8" t="str">
            <v>ASSAM NETWORK OF POSITIVE PEOPLE(ANP+), DIBRUGARH</v>
          </cell>
          <cell r="E8" t="str">
            <v>DIBRUGARH</v>
          </cell>
          <cell r="H8">
            <v>143</v>
          </cell>
          <cell r="I8">
            <v>141</v>
          </cell>
          <cell r="K8">
            <v>3</v>
          </cell>
          <cell r="L8">
            <v>3</v>
          </cell>
          <cell r="N8">
            <v>143</v>
          </cell>
          <cell r="O8">
            <v>143</v>
          </cell>
          <cell r="Q8">
            <v>134</v>
          </cell>
          <cell r="R8">
            <v>61</v>
          </cell>
          <cell r="T8">
            <v>369</v>
          </cell>
          <cell r="U8">
            <v>173</v>
          </cell>
          <cell r="W8">
            <v>139</v>
          </cell>
          <cell r="Y8">
            <v>177</v>
          </cell>
          <cell r="AA8">
            <v>10</v>
          </cell>
          <cell r="AB8">
            <v>10</v>
          </cell>
          <cell r="AD8">
            <v>3</v>
          </cell>
          <cell r="AE8">
            <v>3</v>
          </cell>
          <cell r="AJ8">
            <v>275</v>
          </cell>
          <cell r="AK8">
            <v>245</v>
          </cell>
          <cell r="AM8">
            <v>0</v>
          </cell>
          <cell r="AN8">
            <v>0</v>
          </cell>
          <cell r="AP8">
            <v>6</v>
          </cell>
          <cell r="AQ8">
            <v>6</v>
          </cell>
          <cell r="AS8">
            <v>0</v>
          </cell>
          <cell r="AT8">
            <v>48</v>
          </cell>
          <cell r="AV8">
            <v>0</v>
          </cell>
          <cell r="AW8">
            <v>0</v>
          </cell>
          <cell r="AY8">
            <v>0</v>
          </cell>
          <cell r="AZ8">
            <v>0</v>
          </cell>
          <cell r="BB8">
            <v>0</v>
          </cell>
          <cell r="BC8">
            <v>0</v>
          </cell>
          <cell r="BE8">
            <v>4</v>
          </cell>
          <cell r="BF8">
            <v>4</v>
          </cell>
          <cell r="BH8">
            <v>0</v>
          </cell>
          <cell r="BI8">
            <v>0</v>
          </cell>
          <cell r="BK8">
            <v>0</v>
          </cell>
          <cell r="BL8">
            <v>2</v>
          </cell>
          <cell r="BN8">
            <v>0</v>
          </cell>
          <cell r="BO8">
            <v>0</v>
          </cell>
          <cell r="BQ8">
            <v>1</v>
          </cell>
          <cell r="BR8">
            <v>1</v>
          </cell>
          <cell r="BT8">
            <v>0</v>
          </cell>
          <cell r="BU8">
            <v>0</v>
          </cell>
          <cell r="BW8">
            <v>0</v>
          </cell>
          <cell r="BX8">
            <v>0</v>
          </cell>
          <cell r="BZ8">
            <v>141</v>
          </cell>
          <cell r="CA8">
            <v>141</v>
          </cell>
          <cell r="CC8">
            <v>1</v>
          </cell>
          <cell r="CD8">
            <v>1</v>
          </cell>
          <cell r="CF8">
            <v>0</v>
          </cell>
          <cell r="CG8">
            <v>0</v>
          </cell>
        </row>
        <row r="9">
          <cell r="A9">
            <v>3</v>
          </cell>
          <cell r="B9" t="str">
            <v>CHRI</v>
          </cell>
          <cell r="C9" t="str">
            <v>Assam</v>
          </cell>
          <cell r="D9" t="str">
            <v>DESHABANDHU CLUB</v>
          </cell>
          <cell r="E9" t="str">
            <v>CACHAR</v>
          </cell>
          <cell r="H9">
            <v>143</v>
          </cell>
          <cell r="I9">
            <v>123</v>
          </cell>
          <cell r="K9">
            <v>7</v>
          </cell>
          <cell r="L9">
            <v>2</v>
          </cell>
          <cell r="N9">
            <v>144</v>
          </cell>
          <cell r="O9">
            <v>144</v>
          </cell>
          <cell r="Q9">
            <v>53</v>
          </cell>
          <cell r="R9">
            <v>39</v>
          </cell>
          <cell r="T9">
            <v>820</v>
          </cell>
          <cell r="U9">
            <v>740</v>
          </cell>
          <cell r="W9">
            <v>244</v>
          </cell>
          <cell r="Y9">
            <v>198</v>
          </cell>
          <cell r="AA9">
            <v>28</v>
          </cell>
          <cell r="AB9">
            <v>28</v>
          </cell>
          <cell r="AD9">
            <v>35</v>
          </cell>
          <cell r="AE9">
            <v>28</v>
          </cell>
          <cell r="AJ9">
            <v>33</v>
          </cell>
          <cell r="AK9">
            <v>42</v>
          </cell>
          <cell r="AM9">
            <v>0</v>
          </cell>
          <cell r="AN9">
            <v>0</v>
          </cell>
          <cell r="AP9">
            <v>30</v>
          </cell>
          <cell r="AQ9">
            <v>30</v>
          </cell>
          <cell r="AS9">
            <v>14</v>
          </cell>
          <cell r="AT9">
            <v>11</v>
          </cell>
          <cell r="AV9">
            <v>0</v>
          </cell>
          <cell r="AW9">
            <v>0</v>
          </cell>
          <cell r="AY9">
            <v>22</v>
          </cell>
          <cell r="AZ9">
            <v>22</v>
          </cell>
          <cell r="BB9">
            <v>9</v>
          </cell>
          <cell r="BC9">
            <v>9</v>
          </cell>
          <cell r="BE9">
            <v>8</v>
          </cell>
          <cell r="BF9">
            <v>11</v>
          </cell>
          <cell r="BH9">
            <v>20</v>
          </cell>
          <cell r="BI9">
            <v>20</v>
          </cell>
          <cell r="BK9">
            <v>5</v>
          </cell>
          <cell r="BL9">
            <v>5</v>
          </cell>
          <cell r="BN9">
            <v>4</v>
          </cell>
          <cell r="BO9">
            <v>4</v>
          </cell>
          <cell r="BQ9">
            <v>2</v>
          </cell>
          <cell r="BR9">
            <v>2</v>
          </cell>
          <cell r="BT9">
            <v>1</v>
          </cell>
          <cell r="BU9">
            <v>1</v>
          </cell>
          <cell r="BW9">
            <v>0</v>
          </cell>
          <cell r="BX9">
            <v>0</v>
          </cell>
          <cell r="BZ9">
            <v>123</v>
          </cell>
          <cell r="CA9">
            <v>123</v>
          </cell>
          <cell r="CC9">
            <v>72</v>
          </cell>
          <cell r="CD9">
            <v>40</v>
          </cell>
          <cell r="CF9">
            <v>8</v>
          </cell>
          <cell r="CG9">
            <v>44</v>
          </cell>
        </row>
        <row r="10">
          <cell r="A10">
            <v>4</v>
          </cell>
          <cell r="B10" t="str">
            <v>CHRI</v>
          </cell>
          <cell r="C10" t="str">
            <v>Assam</v>
          </cell>
          <cell r="D10" t="str">
            <v>ASSAM NETWORK OF POSITIVE PEOPLE(ANP+), KAMRUP</v>
          </cell>
          <cell r="E10" t="str">
            <v>KAMRUP</v>
          </cell>
          <cell r="H10">
            <v>571</v>
          </cell>
          <cell r="I10">
            <v>371</v>
          </cell>
          <cell r="K10">
            <v>0</v>
          </cell>
          <cell r="L10">
            <v>0</v>
          </cell>
          <cell r="N10">
            <v>339</v>
          </cell>
          <cell r="O10">
            <v>189</v>
          </cell>
          <cell r="Q10">
            <v>130</v>
          </cell>
          <cell r="R10">
            <v>110</v>
          </cell>
          <cell r="T10">
            <v>1598</v>
          </cell>
          <cell r="U10">
            <v>539</v>
          </cell>
          <cell r="W10">
            <v>1195</v>
          </cell>
          <cell r="Y10">
            <v>656</v>
          </cell>
          <cell r="AA10">
            <v>299</v>
          </cell>
          <cell r="AB10">
            <v>40</v>
          </cell>
          <cell r="AD10">
            <v>0</v>
          </cell>
          <cell r="AE10">
            <v>0</v>
          </cell>
          <cell r="AJ10">
            <v>1323</v>
          </cell>
          <cell r="AK10">
            <v>533</v>
          </cell>
          <cell r="AM10">
            <v>0</v>
          </cell>
          <cell r="AN10">
            <v>0</v>
          </cell>
          <cell r="AP10">
            <v>110</v>
          </cell>
          <cell r="AQ10">
            <v>27</v>
          </cell>
          <cell r="AS10">
            <v>17</v>
          </cell>
          <cell r="AT10">
            <v>17</v>
          </cell>
          <cell r="AV10">
            <v>0</v>
          </cell>
          <cell r="AW10">
            <v>0</v>
          </cell>
          <cell r="AY10">
            <v>0</v>
          </cell>
          <cell r="AZ10">
            <v>0</v>
          </cell>
          <cell r="BB10">
            <v>9</v>
          </cell>
          <cell r="BC10">
            <v>9</v>
          </cell>
          <cell r="BE10">
            <v>0</v>
          </cell>
          <cell r="BF10">
            <v>0</v>
          </cell>
          <cell r="BH10">
            <v>15</v>
          </cell>
          <cell r="BI10">
            <v>15</v>
          </cell>
          <cell r="BK10">
            <v>4</v>
          </cell>
          <cell r="BL10">
            <v>4</v>
          </cell>
          <cell r="BN10">
            <v>2</v>
          </cell>
          <cell r="BO10">
            <v>2</v>
          </cell>
          <cell r="BQ10">
            <v>0</v>
          </cell>
          <cell r="BR10">
            <v>2</v>
          </cell>
          <cell r="BT10">
            <v>2</v>
          </cell>
          <cell r="BU10">
            <v>0</v>
          </cell>
          <cell r="BW10">
            <v>0</v>
          </cell>
          <cell r="BX10">
            <v>0</v>
          </cell>
          <cell r="BZ10">
            <v>371</v>
          </cell>
          <cell r="CA10">
            <v>371</v>
          </cell>
          <cell r="CC10">
            <v>0</v>
          </cell>
          <cell r="CD10">
            <v>26</v>
          </cell>
          <cell r="CF10">
            <v>0</v>
          </cell>
          <cell r="CG10">
            <v>0</v>
          </cell>
        </row>
        <row r="11">
          <cell r="A11">
            <v>5</v>
          </cell>
          <cell r="B11" t="str">
            <v>CHRI</v>
          </cell>
          <cell r="C11" t="str">
            <v>Bihar</v>
          </cell>
          <cell r="D11" t="str">
            <v>BNP+</v>
          </cell>
          <cell r="E11" t="str">
            <v>BHAGALPUR</v>
          </cell>
          <cell r="H11">
            <v>121</v>
          </cell>
          <cell r="I11">
            <v>114</v>
          </cell>
          <cell r="K11">
            <v>109</v>
          </cell>
          <cell r="L11">
            <v>110</v>
          </cell>
          <cell r="N11">
            <v>104</v>
          </cell>
          <cell r="O11">
            <v>104</v>
          </cell>
          <cell r="Q11">
            <v>106</v>
          </cell>
          <cell r="R11">
            <v>100</v>
          </cell>
          <cell r="T11">
            <v>478</v>
          </cell>
          <cell r="U11">
            <v>410</v>
          </cell>
          <cell r="W11">
            <v>189</v>
          </cell>
          <cell r="Y11">
            <v>337</v>
          </cell>
          <cell r="AA11">
            <v>21</v>
          </cell>
          <cell r="AB11">
            <v>21</v>
          </cell>
          <cell r="AD11">
            <v>6</v>
          </cell>
          <cell r="AE11">
            <v>6</v>
          </cell>
          <cell r="AJ11">
            <v>991</v>
          </cell>
          <cell r="AK11">
            <v>978</v>
          </cell>
          <cell r="AM11">
            <v>0</v>
          </cell>
          <cell r="AN11">
            <v>0</v>
          </cell>
          <cell r="AP11">
            <v>23</v>
          </cell>
          <cell r="AQ11">
            <v>21</v>
          </cell>
          <cell r="AS11">
            <v>15</v>
          </cell>
          <cell r="AT11">
            <v>11</v>
          </cell>
          <cell r="AV11">
            <v>0</v>
          </cell>
          <cell r="AW11">
            <v>0</v>
          </cell>
          <cell r="AY11">
            <v>14</v>
          </cell>
          <cell r="AZ11">
            <v>14</v>
          </cell>
          <cell r="BB11">
            <v>7</v>
          </cell>
          <cell r="BC11">
            <v>2</v>
          </cell>
          <cell r="BE11">
            <v>7</v>
          </cell>
          <cell r="BF11">
            <v>7</v>
          </cell>
          <cell r="BH11">
            <v>4</v>
          </cell>
          <cell r="BI11">
            <v>4</v>
          </cell>
          <cell r="BK11">
            <v>5</v>
          </cell>
          <cell r="BL11">
            <v>9</v>
          </cell>
          <cell r="BN11">
            <v>4</v>
          </cell>
          <cell r="BO11">
            <v>4</v>
          </cell>
          <cell r="BQ11">
            <v>7</v>
          </cell>
          <cell r="BR11">
            <v>7</v>
          </cell>
          <cell r="BT11">
            <v>2</v>
          </cell>
          <cell r="BU11">
            <v>2</v>
          </cell>
          <cell r="BW11">
            <v>0</v>
          </cell>
          <cell r="BX11">
            <v>0</v>
          </cell>
          <cell r="BZ11">
            <v>114</v>
          </cell>
          <cell r="CA11">
            <v>119</v>
          </cell>
          <cell r="CC11">
            <v>16</v>
          </cell>
          <cell r="CD11">
            <v>16</v>
          </cell>
          <cell r="CF11">
            <v>0</v>
          </cell>
          <cell r="CG11">
            <v>0</v>
          </cell>
        </row>
        <row r="12">
          <cell r="A12">
            <v>6</v>
          </cell>
          <cell r="B12" t="str">
            <v>CHRI</v>
          </cell>
          <cell r="C12" t="str">
            <v>Bihar</v>
          </cell>
          <cell r="D12" t="str">
            <v>BNP+</v>
          </cell>
          <cell r="E12" t="str">
            <v>DARBHANGA</v>
          </cell>
          <cell r="H12">
            <v>62</v>
          </cell>
          <cell r="I12">
            <v>42</v>
          </cell>
          <cell r="K12">
            <v>56</v>
          </cell>
          <cell r="L12">
            <v>55</v>
          </cell>
          <cell r="N12">
            <v>63</v>
          </cell>
          <cell r="O12">
            <v>63</v>
          </cell>
          <cell r="Q12">
            <v>59</v>
          </cell>
          <cell r="R12">
            <v>54</v>
          </cell>
          <cell r="T12">
            <v>363</v>
          </cell>
          <cell r="U12">
            <v>337</v>
          </cell>
          <cell r="W12">
            <v>97</v>
          </cell>
          <cell r="Y12">
            <v>175</v>
          </cell>
          <cell r="AA12">
            <v>0</v>
          </cell>
          <cell r="AB12">
            <v>0</v>
          </cell>
          <cell r="AD12">
            <v>0</v>
          </cell>
          <cell r="AE12">
            <v>0</v>
          </cell>
          <cell r="AJ12">
            <v>487</v>
          </cell>
          <cell r="AK12">
            <v>487</v>
          </cell>
          <cell r="AM12">
            <v>0</v>
          </cell>
          <cell r="AN12">
            <v>0</v>
          </cell>
          <cell r="AP12">
            <v>20</v>
          </cell>
          <cell r="AQ12">
            <v>15</v>
          </cell>
          <cell r="AS12">
            <v>18</v>
          </cell>
          <cell r="AT12">
            <v>13</v>
          </cell>
          <cell r="AV12">
            <v>0</v>
          </cell>
          <cell r="AW12">
            <v>0</v>
          </cell>
          <cell r="AY12">
            <v>21</v>
          </cell>
          <cell r="AZ12">
            <v>9</v>
          </cell>
          <cell r="BB12">
            <v>12</v>
          </cell>
          <cell r="BC12">
            <v>9</v>
          </cell>
          <cell r="BE12">
            <v>2</v>
          </cell>
          <cell r="BF12">
            <v>2</v>
          </cell>
          <cell r="BH12">
            <v>2</v>
          </cell>
          <cell r="BI12">
            <v>2</v>
          </cell>
          <cell r="BK12">
            <v>5</v>
          </cell>
          <cell r="BL12">
            <v>5</v>
          </cell>
          <cell r="BN12">
            <v>0</v>
          </cell>
          <cell r="BO12">
            <v>0</v>
          </cell>
          <cell r="BQ12">
            <v>3</v>
          </cell>
          <cell r="BR12">
            <v>3</v>
          </cell>
          <cell r="BT12">
            <v>2</v>
          </cell>
          <cell r="BU12">
            <v>2</v>
          </cell>
          <cell r="BW12">
            <v>0</v>
          </cell>
          <cell r="BX12">
            <v>0</v>
          </cell>
          <cell r="BZ12">
            <v>42</v>
          </cell>
          <cell r="CA12">
            <v>59</v>
          </cell>
          <cell r="CC12">
            <v>11</v>
          </cell>
          <cell r="CD12">
            <v>11</v>
          </cell>
          <cell r="CF12">
            <v>0</v>
          </cell>
          <cell r="CG12">
            <v>0</v>
          </cell>
        </row>
        <row r="13">
          <cell r="A13">
            <v>7</v>
          </cell>
          <cell r="B13" t="str">
            <v>CHRI</v>
          </cell>
          <cell r="C13" t="str">
            <v>Bihar</v>
          </cell>
          <cell r="D13" t="str">
            <v>BJUP JEEVAN JYOTHI</v>
          </cell>
          <cell r="E13" t="str">
            <v>GAYA</v>
          </cell>
          <cell r="H13">
            <v>86</v>
          </cell>
          <cell r="I13">
            <v>71</v>
          </cell>
          <cell r="K13">
            <v>69</v>
          </cell>
          <cell r="L13">
            <v>61</v>
          </cell>
          <cell r="N13">
            <v>78</v>
          </cell>
          <cell r="O13">
            <v>76</v>
          </cell>
          <cell r="Q13">
            <v>78</v>
          </cell>
          <cell r="R13">
            <v>72</v>
          </cell>
          <cell r="T13">
            <v>239</v>
          </cell>
          <cell r="U13">
            <v>188</v>
          </cell>
          <cell r="W13">
            <v>62</v>
          </cell>
          <cell r="Y13">
            <v>178</v>
          </cell>
          <cell r="AA13">
            <v>0</v>
          </cell>
          <cell r="AB13">
            <v>0</v>
          </cell>
          <cell r="AD13">
            <v>1</v>
          </cell>
          <cell r="AE13">
            <v>0</v>
          </cell>
          <cell r="AJ13">
            <v>431</v>
          </cell>
          <cell r="AK13">
            <v>415</v>
          </cell>
          <cell r="AM13">
            <v>0</v>
          </cell>
          <cell r="AN13">
            <v>0</v>
          </cell>
          <cell r="AP13">
            <v>20</v>
          </cell>
          <cell r="AQ13">
            <v>13</v>
          </cell>
          <cell r="AS13">
            <v>15</v>
          </cell>
          <cell r="AT13">
            <v>15</v>
          </cell>
          <cell r="AV13">
            <v>0</v>
          </cell>
          <cell r="AW13">
            <v>0</v>
          </cell>
          <cell r="AY13">
            <v>23</v>
          </cell>
          <cell r="AZ13">
            <v>23</v>
          </cell>
          <cell r="BB13">
            <v>38</v>
          </cell>
          <cell r="BC13">
            <v>38</v>
          </cell>
          <cell r="BE13">
            <v>4</v>
          </cell>
          <cell r="BF13">
            <v>4</v>
          </cell>
          <cell r="BH13">
            <v>4</v>
          </cell>
          <cell r="BI13">
            <v>4</v>
          </cell>
          <cell r="BK13">
            <v>16</v>
          </cell>
          <cell r="BL13">
            <v>14</v>
          </cell>
          <cell r="BN13">
            <v>5</v>
          </cell>
          <cell r="BO13">
            <v>5</v>
          </cell>
          <cell r="BQ13">
            <v>10</v>
          </cell>
          <cell r="BR13">
            <v>10</v>
          </cell>
          <cell r="BT13">
            <v>9</v>
          </cell>
          <cell r="BU13">
            <v>9</v>
          </cell>
          <cell r="BW13">
            <v>0</v>
          </cell>
          <cell r="BX13">
            <v>0</v>
          </cell>
          <cell r="BZ13">
            <v>71</v>
          </cell>
          <cell r="CA13">
            <v>71</v>
          </cell>
          <cell r="CC13">
            <v>12</v>
          </cell>
          <cell r="CD13">
            <v>13</v>
          </cell>
          <cell r="CF13">
            <v>0</v>
          </cell>
          <cell r="CG13">
            <v>0</v>
          </cell>
        </row>
        <row r="14">
          <cell r="A14">
            <v>8</v>
          </cell>
          <cell r="B14" t="str">
            <v>CHRI</v>
          </cell>
          <cell r="C14" t="str">
            <v>Bihar</v>
          </cell>
          <cell r="D14" t="str">
            <v>KNP+</v>
          </cell>
          <cell r="E14" t="str">
            <v>KATIHAR</v>
          </cell>
          <cell r="H14">
            <v>152</v>
          </cell>
          <cell r="I14">
            <v>104</v>
          </cell>
          <cell r="K14">
            <v>101</v>
          </cell>
          <cell r="L14">
            <v>100</v>
          </cell>
          <cell r="N14">
            <v>108</v>
          </cell>
          <cell r="O14">
            <v>108</v>
          </cell>
          <cell r="Q14">
            <v>134</v>
          </cell>
          <cell r="R14">
            <v>56</v>
          </cell>
          <cell r="T14">
            <v>172</v>
          </cell>
          <cell r="U14">
            <v>172</v>
          </cell>
          <cell r="W14">
            <v>199</v>
          </cell>
          <cell r="Y14">
            <v>227</v>
          </cell>
          <cell r="AA14">
            <v>0</v>
          </cell>
          <cell r="AB14">
            <v>0</v>
          </cell>
          <cell r="AD14">
            <v>2</v>
          </cell>
          <cell r="AE14">
            <v>2</v>
          </cell>
          <cell r="AJ14">
            <v>670</v>
          </cell>
          <cell r="AK14">
            <v>670</v>
          </cell>
          <cell r="AM14">
            <v>0</v>
          </cell>
          <cell r="AN14">
            <v>0</v>
          </cell>
          <cell r="AP14">
            <v>9</v>
          </cell>
          <cell r="AQ14">
            <v>9</v>
          </cell>
          <cell r="AS14">
            <v>8</v>
          </cell>
          <cell r="AT14">
            <v>8</v>
          </cell>
          <cell r="AV14">
            <v>0</v>
          </cell>
          <cell r="AW14">
            <v>0</v>
          </cell>
          <cell r="AY14">
            <v>40</v>
          </cell>
          <cell r="AZ14">
            <v>40</v>
          </cell>
          <cell r="BB14">
            <v>34</v>
          </cell>
          <cell r="BC14">
            <v>34</v>
          </cell>
          <cell r="BE14">
            <v>6</v>
          </cell>
          <cell r="BF14">
            <v>6</v>
          </cell>
          <cell r="BH14">
            <v>14</v>
          </cell>
          <cell r="BI14">
            <v>14</v>
          </cell>
          <cell r="BK14">
            <v>6</v>
          </cell>
          <cell r="BL14">
            <v>6</v>
          </cell>
          <cell r="BN14">
            <v>3</v>
          </cell>
          <cell r="BO14">
            <v>3</v>
          </cell>
          <cell r="BQ14">
            <v>9</v>
          </cell>
          <cell r="BR14">
            <v>9</v>
          </cell>
          <cell r="BT14">
            <v>9</v>
          </cell>
          <cell r="BU14">
            <v>9</v>
          </cell>
          <cell r="BW14">
            <v>0</v>
          </cell>
          <cell r="BX14">
            <v>0</v>
          </cell>
          <cell r="BZ14">
            <v>104</v>
          </cell>
          <cell r="CA14">
            <v>104</v>
          </cell>
          <cell r="CC14">
            <v>8</v>
          </cell>
          <cell r="CD14">
            <v>8</v>
          </cell>
          <cell r="CF14">
            <v>0</v>
          </cell>
          <cell r="CG14">
            <v>0</v>
          </cell>
        </row>
        <row r="15">
          <cell r="A15">
            <v>9</v>
          </cell>
          <cell r="B15" t="str">
            <v>CHRI</v>
          </cell>
          <cell r="C15" t="str">
            <v>Bihar</v>
          </cell>
          <cell r="D15" t="str">
            <v>BNP+</v>
          </cell>
          <cell r="E15" t="str">
            <v>MADHUBANI</v>
          </cell>
          <cell r="H15">
            <v>71</v>
          </cell>
          <cell r="I15">
            <v>51</v>
          </cell>
          <cell r="K15">
            <v>92</v>
          </cell>
          <cell r="L15">
            <v>92</v>
          </cell>
          <cell r="N15">
            <v>67</v>
          </cell>
          <cell r="O15">
            <v>67</v>
          </cell>
          <cell r="Q15">
            <v>86</v>
          </cell>
          <cell r="R15">
            <v>78</v>
          </cell>
          <cell r="T15">
            <v>276</v>
          </cell>
          <cell r="U15">
            <v>204</v>
          </cell>
          <cell r="W15">
            <v>208</v>
          </cell>
          <cell r="Y15">
            <v>149</v>
          </cell>
          <cell r="AA15">
            <v>0</v>
          </cell>
          <cell r="AB15">
            <v>0</v>
          </cell>
          <cell r="AD15">
            <v>0</v>
          </cell>
          <cell r="AE15">
            <v>0</v>
          </cell>
          <cell r="AJ15">
            <v>70</v>
          </cell>
          <cell r="AK15">
            <v>39</v>
          </cell>
          <cell r="AM15">
            <v>0</v>
          </cell>
          <cell r="AN15">
            <v>0</v>
          </cell>
          <cell r="AP15">
            <v>10</v>
          </cell>
          <cell r="AQ15">
            <v>10</v>
          </cell>
          <cell r="AS15">
            <v>10</v>
          </cell>
          <cell r="AT15">
            <v>10</v>
          </cell>
          <cell r="AV15">
            <v>0</v>
          </cell>
          <cell r="AW15">
            <v>0</v>
          </cell>
          <cell r="AY15">
            <v>11</v>
          </cell>
          <cell r="AZ15">
            <v>11</v>
          </cell>
          <cell r="BB15">
            <v>2</v>
          </cell>
          <cell r="BC15">
            <v>1</v>
          </cell>
          <cell r="BE15">
            <v>1</v>
          </cell>
          <cell r="BF15">
            <v>1</v>
          </cell>
          <cell r="BH15">
            <v>0</v>
          </cell>
          <cell r="BI15">
            <v>0</v>
          </cell>
          <cell r="BK15">
            <v>5</v>
          </cell>
          <cell r="BL15">
            <v>8</v>
          </cell>
          <cell r="BN15">
            <v>3</v>
          </cell>
          <cell r="BO15">
            <v>3</v>
          </cell>
          <cell r="BQ15">
            <v>0</v>
          </cell>
          <cell r="BR15">
            <v>0</v>
          </cell>
          <cell r="BT15">
            <v>1</v>
          </cell>
          <cell r="BU15">
            <v>1</v>
          </cell>
          <cell r="BW15">
            <v>0</v>
          </cell>
          <cell r="BX15">
            <v>0</v>
          </cell>
          <cell r="BZ15">
            <v>51</v>
          </cell>
          <cell r="CA15">
            <v>242</v>
          </cell>
          <cell r="CC15">
            <v>38</v>
          </cell>
          <cell r="CD15">
            <v>23</v>
          </cell>
          <cell r="CF15">
            <v>0</v>
          </cell>
          <cell r="CG15">
            <v>0</v>
          </cell>
        </row>
        <row r="16">
          <cell r="A16">
            <v>10</v>
          </cell>
          <cell r="B16" t="str">
            <v>CHRI</v>
          </cell>
          <cell r="C16" t="str">
            <v>Bihar</v>
          </cell>
          <cell r="D16" t="str">
            <v>NIRDESH</v>
          </cell>
          <cell r="E16" t="str">
            <v>EAST CHAMPARAN</v>
          </cell>
          <cell r="H16">
            <v>230</v>
          </cell>
          <cell r="I16">
            <v>171</v>
          </cell>
          <cell r="K16">
            <v>147</v>
          </cell>
          <cell r="L16">
            <v>147</v>
          </cell>
          <cell r="N16">
            <v>205</v>
          </cell>
          <cell r="O16">
            <v>205</v>
          </cell>
          <cell r="Q16">
            <v>199</v>
          </cell>
          <cell r="R16">
            <v>187</v>
          </cell>
          <cell r="T16">
            <v>2297</v>
          </cell>
          <cell r="U16">
            <v>2260</v>
          </cell>
          <cell r="W16">
            <v>151</v>
          </cell>
          <cell r="Y16">
            <v>145</v>
          </cell>
          <cell r="AA16">
            <v>0</v>
          </cell>
          <cell r="AB16">
            <v>0</v>
          </cell>
          <cell r="AD16">
            <v>0</v>
          </cell>
          <cell r="AE16">
            <v>0</v>
          </cell>
          <cell r="AJ16">
            <v>758</v>
          </cell>
          <cell r="AK16">
            <v>758</v>
          </cell>
          <cell r="AM16">
            <v>0</v>
          </cell>
          <cell r="AN16">
            <v>0</v>
          </cell>
          <cell r="AP16">
            <v>25</v>
          </cell>
          <cell r="AQ16">
            <v>25</v>
          </cell>
          <cell r="AS16">
            <v>90</v>
          </cell>
          <cell r="AT16">
            <v>90</v>
          </cell>
          <cell r="AV16">
            <v>0</v>
          </cell>
          <cell r="AW16">
            <v>0</v>
          </cell>
          <cell r="AY16">
            <v>95</v>
          </cell>
          <cell r="AZ16">
            <v>69</v>
          </cell>
          <cell r="BB16">
            <v>59</v>
          </cell>
          <cell r="BC16">
            <v>59</v>
          </cell>
          <cell r="BE16">
            <v>9</v>
          </cell>
          <cell r="BF16">
            <v>9</v>
          </cell>
          <cell r="BH16">
            <v>6</v>
          </cell>
          <cell r="BI16">
            <v>6</v>
          </cell>
          <cell r="BK16">
            <v>18</v>
          </cell>
          <cell r="BL16">
            <v>18</v>
          </cell>
          <cell r="BN16">
            <v>6</v>
          </cell>
          <cell r="BO16">
            <v>6</v>
          </cell>
          <cell r="BQ16">
            <v>4</v>
          </cell>
          <cell r="BR16">
            <v>4</v>
          </cell>
          <cell r="BT16">
            <v>2</v>
          </cell>
          <cell r="BU16">
            <v>2</v>
          </cell>
          <cell r="BW16">
            <v>0</v>
          </cell>
          <cell r="BX16">
            <v>0</v>
          </cell>
          <cell r="BZ16">
            <v>171</v>
          </cell>
          <cell r="CA16">
            <v>168</v>
          </cell>
          <cell r="CC16">
            <v>29</v>
          </cell>
          <cell r="CD16">
            <v>29</v>
          </cell>
          <cell r="CF16">
            <v>1</v>
          </cell>
          <cell r="CG16">
            <v>1</v>
          </cell>
        </row>
        <row r="17">
          <cell r="A17">
            <v>11</v>
          </cell>
          <cell r="B17" t="str">
            <v>CHRI</v>
          </cell>
          <cell r="C17" t="str">
            <v>Bihar</v>
          </cell>
          <cell r="D17" t="str">
            <v>BNP+</v>
          </cell>
          <cell r="E17" t="str">
            <v>MUZAFFARPUR</v>
          </cell>
          <cell r="H17">
            <v>86</v>
          </cell>
          <cell r="I17">
            <v>70</v>
          </cell>
          <cell r="K17">
            <v>72</v>
          </cell>
          <cell r="L17">
            <v>69</v>
          </cell>
          <cell r="N17">
            <v>80</v>
          </cell>
          <cell r="O17">
            <v>79</v>
          </cell>
          <cell r="Q17">
            <v>90</v>
          </cell>
          <cell r="R17">
            <v>81</v>
          </cell>
          <cell r="T17">
            <v>772</v>
          </cell>
          <cell r="U17">
            <v>722</v>
          </cell>
          <cell r="W17">
            <v>66</v>
          </cell>
          <cell r="Y17">
            <v>63</v>
          </cell>
          <cell r="AA17">
            <v>38</v>
          </cell>
          <cell r="AB17">
            <v>38</v>
          </cell>
          <cell r="AD17">
            <v>31</v>
          </cell>
          <cell r="AE17">
            <v>0</v>
          </cell>
          <cell r="AJ17">
            <v>165</v>
          </cell>
          <cell r="AK17">
            <v>187</v>
          </cell>
          <cell r="AM17">
            <v>0</v>
          </cell>
          <cell r="AN17">
            <v>0</v>
          </cell>
          <cell r="AP17">
            <v>56</v>
          </cell>
          <cell r="AQ17">
            <v>32</v>
          </cell>
          <cell r="AS17">
            <v>13</v>
          </cell>
          <cell r="AT17">
            <v>13</v>
          </cell>
          <cell r="AV17">
            <v>0</v>
          </cell>
          <cell r="AW17">
            <v>0</v>
          </cell>
          <cell r="AY17">
            <v>9</v>
          </cell>
          <cell r="AZ17">
            <v>9</v>
          </cell>
          <cell r="BB17">
            <v>40</v>
          </cell>
          <cell r="BC17">
            <v>40</v>
          </cell>
          <cell r="BE17">
            <v>13</v>
          </cell>
          <cell r="BF17">
            <v>13</v>
          </cell>
          <cell r="BH17">
            <v>10</v>
          </cell>
          <cell r="BI17">
            <v>10</v>
          </cell>
          <cell r="BK17">
            <v>15</v>
          </cell>
          <cell r="BL17">
            <v>15</v>
          </cell>
          <cell r="BN17">
            <v>5</v>
          </cell>
          <cell r="BO17">
            <v>5</v>
          </cell>
          <cell r="BQ17">
            <v>7</v>
          </cell>
          <cell r="BR17">
            <v>7</v>
          </cell>
          <cell r="BT17">
            <v>6</v>
          </cell>
          <cell r="BU17">
            <v>6</v>
          </cell>
          <cell r="BW17">
            <v>1</v>
          </cell>
          <cell r="BX17">
            <v>1</v>
          </cell>
          <cell r="BZ17">
            <v>70</v>
          </cell>
          <cell r="CA17">
            <v>86</v>
          </cell>
          <cell r="CC17">
            <v>3</v>
          </cell>
          <cell r="CD17">
            <v>0</v>
          </cell>
          <cell r="CF17">
            <v>0</v>
          </cell>
          <cell r="CG17">
            <v>0</v>
          </cell>
        </row>
        <row r="18">
          <cell r="A18">
            <v>12</v>
          </cell>
          <cell r="B18" t="str">
            <v>CHRI</v>
          </cell>
          <cell r="C18" t="str">
            <v>Bihar</v>
          </cell>
          <cell r="D18" t="str">
            <v>PNP+</v>
          </cell>
          <cell r="E18" t="str">
            <v>PATNA</v>
          </cell>
          <cell r="H18">
            <v>189</v>
          </cell>
          <cell r="I18">
            <v>143</v>
          </cell>
          <cell r="K18">
            <v>130</v>
          </cell>
          <cell r="L18">
            <v>104</v>
          </cell>
          <cell r="N18">
            <v>188</v>
          </cell>
          <cell r="O18">
            <v>188</v>
          </cell>
          <cell r="Q18">
            <v>267</v>
          </cell>
          <cell r="R18">
            <v>266</v>
          </cell>
          <cell r="T18">
            <v>1302</v>
          </cell>
          <cell r="U18">
            <v>1162</v>
          </cell>
          <cell r="W18">
            <v>16</v>
          </cell>
          <cell r="Y18">
            <v>185</v>
          </cell>
          <cell r="AA18">
            <v>11</v>
          </cell>
          <cell r="AB18">
            <v>11</v>
          </cell>
          <cell r="AD18">
            <v>0</v>
          </cell>
          <cell r="AE18">
            <v>0</v>
          </cell>
          <cell r="AJ18">
            <v>160</v>
          </cell>
          <cell r="AK18">
            <v>87</v>
          </cell>
          <cell r="AM18">
            <v>0</v>
          </cell>
          <cell r="AN18">
            <v>0</v>
          </cell>
          <cell r="AP18">
            <v>62</v>
          </cell>
          <cell r="AQ18">
            <v>15</v>
          </cell>
          <cell r="AS18">
            <v>28</v>
          </cell>
          <cell r="AT18">
            <v>28</v>
          </cell>
          <cell r="AV18">
            <v>0</v>
          </cell>
          <cell r="AW18">
            <v>0</v>
          </cell>
          <cell r="AY18">
            <v>27</v>
          </cell>
          <cell r="AZ18">
            <v>27</v>
          </cell>
          <cell r="BB18">
            <v>0</v>
          </cell>
          <cell r="BC18">
            <v>0</v>
          </cell>
          <cell r="BE18">
            <v>12</v>
          </cell>
          <cell r="BF18">
            <v>12</v>
          </cell>
          <cell r="BH18">
            <v>23</v>
          </cell>
          <cell r="BI18">
            <v>16</v>
          </cell>
          <cell r="BK18">
            <v>21</v>
          </cell>
          <cell r="BL18">
            <v>21</v>
          </cell>
          <cell r="BN18">
            <v>3</v>
          </cell>
          <cell r="BO18">
            <v>3</v>
          </cell>
          <cell r="BQ18">
            <v>10</v>
          </cell>
          <cell r="BR18">
            <v>10</v>
          </cell>
          <cell r="BT18">
            <v>0</v>
          </cell>
          <cell r="BU18">
            <v>0</v>
          </cell>
          <cell r="BW18">
            <v>0</v>
          </cell>
          <cell r="BX18">
            <v>0</v>
          </cell>
          <cell r="BZ18">
            <v>143</v>
          </cell>
          <cell r="CA18">
            <v>143</v>
          </cell>
          <cell r="CC18">
            <v>11</v>
          </cell>
          <cell r="CD18">
            <v>11</v>
          </cell>
          <cell r="CF18">
            <v>0</v>
          </cell>
          <cell r="CG18">
            <v>0</v>
          </cell>
        </row>
        <row r="19">
          <cell r="A19">
            <v>13</v>
          </cell>
          <cell r="B19" t="str">
            <v>CHRI</v>
          </cell>
          <cell r="C19" t="str">
            <v>Bihar</v>
          </cell>
          <cell r="D19" t="str">
            <v>BNP+</v>
          </cell>
          <cell r="E19" t="str">
            <v>SARAN</v>
          </cell>
          <cell r="H19">
            <v>106</v>
          </cell>
          <cell r="I19">
            <v>144</v>
          </cell>
          <cell r="K19">
            <v>52</v>
          </cell>
          <cell r="L19">
            <v>52</v>
          </cell>
          <cell r="N19">
            <v>141</v>
          </cell>
          <cell r="O19">
            <v>141</v>
          </cell>
          <cell r="Q19">
            <v>133</v>
          </cell>
          <cell r="R19">
            <v>84</v>
          </cell>
          <cell r="T19">
            <v>1011</v>
          </cell>
          <cell r="U19">
            <v>812</v>
          </cell>
          <cell r="W19">
            <v>156</v>
          </cell>
          <cell r="Y19">
            <v>197</v>
          </cell>
          <cell r="AA19">
            <v>9</v>
          </cell>
          <cell r="AB19">
            <v>9</v>
          </cell>
          <cell r="AD19">
            <v>0</v>
          </cell>
          <cell r="AE19">
            <v>0</v>
          </cell>
          <cell r="AJ19">
            <v>400</v>
          </cell>
          <cell r="AK19">
            <v>362</v>
          </cell>
          <cell r="AM19">
            <v>0</v>
          </cell>
          <cell r="AN19">
            <v>0</v>
          </cell>
          <cell r="AP19">
            <v>53</v>
          </cell>
          <cell r="AQ19">
            <v>53</v>
          </cell>
          <cell r="AS19">
            <v>35</v>
          </cell>
          <cell r="AT19">
            <v>27</v>
          </cell>
          <cell r="AV19">
            <v>0</v>
          </cell>
          <cell r="AW19">
            <v>0</v>
          </cell>
          <cell r="AY19">
            <v>20</v>
          </cell>
          <cell r="AZ19">
            <v>20</v>
          </cell>
          <cell r="BB19">
            <v>39</v>
          </cell>
          <cell r="BC19">
            <v>39</v>
          </cell>
          <cell r="BE19">
            <v>6</v>
          </cell>
          <cell r="BF19">
            <v>11</v>
          </cell>
          <cell r="BH19">
            <v>28</v>
          </cell>
          <cell r="BI19">
            <v>28</v>
          </cell>
          <cell r="BK19">
            <v>33</v>
          </cell>
          <cell r="BL19">
            <v>33</v>
          </cell>
          <cell r="BN19">
            <v>8</v>
          </cell>
          <cell r="BO19">
            <v>8</v>
          </cell>
          <cell r="BQ19">
            <v>9</v>
          </cell>
          <cell r="BR19">
            <v>9</v>
          </cell>
          <cell r="BT19">
            <v>1</v>
          </cell>
          <cell r="BU19">
            <v>1</v>
          </cell>
          <cell r="BW19">
            <v>0</v>
          </cell>
          <cell r="BX19">
            <v>0</v>
          </cell>
          <cell r="BZ19">
            <v>144</v>
          </cell>
          <cell r="CA19">
            <v>75</v>
          </cell>
          <cell r="CC19">
            <v>27</v>
          </cell>
          <cell r="CD19">
            <v>27</v>
          </cell>
          <cell r="CF19">
            <v>0</v>
          </cell>
          <cell r="CG19">
            <v>0</v>
          </cell>
        </row>
        <row r="20">
          <cell r="A20">
            <v>14</v>
          </cell>
          <cell r="B20" t="str">
            <v>CHRI</v>
          </cell>
          <cell r="C20" t="str">
            <v>Bihar</v>
          </cell>
          <cell r="D20" t="str">
            <v>BNP+</v>
          </cell>
          <cell r="E20" t="str">
            <v>VAISHALI</v>
          </cell>
          <cell r="H20">
            <v>78</v>
          </cell>
          <cell r="I20">
            <v>71</v>
          </cell>
          <cell r="K20">
            <v>66</v>
          </cell>
          <cell r="L20">
            <v>64</v>
          </cell>
          <cell r="N20">
            <v>71</v>
          </cell>
          <cell r="O20">
            <v>71</v>
          </cell>
          <cell r="Q20">
            <v>95</v>
          </cell>
          <cell r="R20">
            <v>81</v>
          </cell>
          <cell r="T20">
            <v>747</v>
          </cell>
          <cell r="U20">
            <v>717</v>
          </cell>
          <cell r="W20">
            <v>52</v>
          </cell>
          <cell r="Y20">
            <v>92</v>
          </cell>
          <cell r="AA20">
            <v>0</v>
          </cell>
          <cell r="AB20">
            <v>0</v>
          </cell>
          <cell r="AD20">
            <v>33</v>
          </cell>
          <cell r="AE20">
            <v>11</v>
          </cell>
          <cell r="AJ20">
            <v>183</v>
          </cell>
          <cell r="AK20">
            <v>175</v>
          </cell>
          <cell r="AM20">
            <v>0</v>
          </cell>
          <cell r="AN20">
            <v>0</v>
          </cell>
          <cell r="AP20">
            <v>62</v>
          </cell>
          <cell r="AQ20">
            <v>58</v>
          </cell>
          <cell r="AS20">
            <v>11</v>
          </cell>
          <cell r="AT20">
            <v>11</v>
          </cell>
          <cell r="AV20">
            <v>0</v>
          </cell>
          <cell r="AW20">
            <v>0</v>
          </cell>
          <cell r="AY20">
            <v>0</v>
          </cell>
          <cell r="AZ20">
            <v>0</v>
          </cell>
          <cell r="BB20">
            <v>17</v>
          </cell>
          <cell r="BC20">
            <v>17</v>
          </cell>
          <cell r="BE20">
            <v>4</v>
          </cell>
          <cell r="BF20">
            <v>4</v>
          </cell>
          <cell r="BH20">
            <v>15</v>
          </cell>
          <cell r="BI20">
            <v>15</v>
          </cell>
          <cell r="BK20">
            <v>10</v>
          </cell>
          <cell r="BL20">
            <v>10</v>
          </cell>
          <cell r="BN20">
            <v>2</v>
          </cell>
          <cell r="BO20">
            <v>2</v>
          </cell>
          <cell r="BQ20">
            <v>8</v>
          </cell>
          <cell r="BR20">
            <v>8</v>
          </cell>
          <cell r="BT20">
            <v>4</v>
          </cell>
          <cell r="BU20">
            <v>4</v>
          </cell>
          <cell r="BW20">
            <v>0</v>
          </cell>
          <cell r="BX20">
            <v>0</v>
          </cell>
          <cell r="BZ20">
            <v>71</v>
          </cell>
          <cell r="CA20">
            <v>76</v>
          </cell>
          <cell r="CC20">
            <v>7</v>
          </cell>
          <cell r="CD20">
            <v>7</v>
          </cell>
          <cell r="CF20">
            <v>50</v>
          </cell>
          <cell r="CG20">
            <v>50</v>
          </cell>
        </row>
        <row r="21">
          <cell r="A21">
            <v>15</v>
          </cell>
          <cell r="B21" t="str">
            <v>CHRI</v>
          </cell>
          <cell r="C21" t="str">
            <v>Bihar</v>
          </cell>
          <cell r="D21" t="str">
            <v>AIDENT SOCIAL WELFARE ORGANISATION</v>
          </cell>
          <cell r="E21" t="str">
            <v>BEGUSARAI</v>
          </cell>
          <cell r="H21">
            <v>117</v>
          </cell>
          <cell r="I21">
            <v>117</v>
          </cell>
          <cell r="K21">
            <v>112</v>
          </cell>
          <cell r="L21">
            <v>112</v>
          </cell>
          <cell r="N21">
            <v>119</v>
          </cell>
          <cell r="O21">
            <v>116</v>
          </cell>
          <cell r="Q21">
            <v>140</v>
          </cell>
          <cell r="R21">
            <v>120</v>
          </cell>
          <cell r="T21">
            <v>1063</v>
          </cell>
          <cell r="U21">
            <v>860</v>
          </cell>
          <cell r="W21">
            <v>58</v>
          </cell>
          <cell r="Y21">
            <v>112</v>
          </cell>
          <cell r="AA21">
            <v>45</v>
          </cell>
          <cell r="AB21">
            <v>45</v>
          </cell>
          <cell r="AD21">
            <v>43</v>
          </cell>
          <cell r="AE21">
            <v>13</v>
          </cell>
          <cell r="AJ21">
            <v>344</v>
          </cell>
          <cell r="AK21">
            <v>344</v>
          </cell>
          <cell r="AM21">
            <v>0</v>
          </cell>
          <cell r="AN21">
            <v>0</v>
          </cell>
          <cell r="AP21">
            <v>26</v>
          </cell>
          <cell r="AQ21">
            <v>1</v>
          </cell>
          <cell r="AS21">
            <v>9</v>
          </cell>
          <cell r="AT21">
            <v>9</v>
          </cell>
          <cell r="AV21">
            <v>0</v>
          </cell>
          <cell r="AW21">
            <v>0</v>
          </cell>
          <cell r="AY21">
            <v>36</v>
          </cell>
          <cell r="AZ21">
            <v>36</v>
          </cell>
          <cell r="BB21">
            <v>25</v>
          </cell>
          <cell r="BC21">
            <v>25</v>
          </cell>
          <cell r="BE21">
            <v>1</v>
          </cell>
          <cell r="BF21">
            <v>1</v>
          </cell>
          <cell r="BH21">
            <v>4</v>
          </cell>
          <cell r="BI21">
            <v>4</v>
          </cell>
          <cell r="BK21">
            <v>18</v>
          </cell>
          <cell r="BL21">
            <v>18</v>
          </cell>
          <cell r="BN21">
            <v>12</v>
          </cell>
          <cell r="BO21">
            <v>12</v>
          </cell>
          <cell r="BQ21">
            <v>7</v>
          </cell>
          <cell r="BR21">
            <v>7</v>
          </cell>
          <cell r="BT21">
            <v>4</v>
          </cell>
          <cell r="BU21">
            <v>4</v>
          </cell>
          <cell r="BW21">
            <v>0</v>
          </cell>
          <cell r="BX21">
            <v>0</v>
          </cell>
          <cell r="BZ21">
            <v>117</v>
          </cell>
          <cell r="CA21">
            <v>116</v>
          </cell>
          <cell r="CC21">
            <v>14</v>
          </cell>
          <cell r="CD21">
            <v>14</v>
          </cell>
          <cell r="CF21">
            <v>0</v>
          </cell>
          <cell r="CG21">
            <v>0</v>
          </cell>
        </row>
        <row r="22">
          <cell r="A22">
            <v>16</v>
          </cell>
          <cell r="B22" t="str">
            <v>CHRI</v>
          </cell>
          <cell r="C22" t="str">
            <v>Bihar</v>
          </cell>
          <cell r="D22" t="str">
            <v>CENTRE DIRECT</v>
          </cell>
          <cell r="E22" t="str">
            <v>SITAMARHI</v>
          </cell>
          <cell r="H22">
            <v>66</v>
          </cell>
          <cell r="I22">
            <v>66</v>
          </cell>
          <cell r="K22">
            <v>53</v>
          </cell>
          <cell r="L22">
            <v>53</v>
          </cell>
          <cell r="N22">
            <v>66</v>
          </cell>
          <cell r="O22">
            <v>66</v>
          </cell>
          <cell r="Q22">
            <v>104</v>
          </cell>
          <cell r="R22">
            <v>92</v>
          </cell>
          <cell r="T22">
            <v>581</v>
          </cell>
          <cell r="U22">
            <v>510</v>
          </cell>
          <cell r="W22">
            <v>20</v>
          </cell>
          <cell r="Y22">
            <v>76</v>
          </cell>
          <cell r="AA22">
            <v>0</v>
          </cell>
          <cell r="AB22">
            <v>0</v>
          </cell>
          <cell r="AD22">
            <v>0</v>
          </cell>
          <cell r="AE22">
            <v>0</v>
          </cell>
          <cell r="AJ22">
            <v>145</v>
          </cell>
          <cell r="AK22">
            <v>71</v>
          </cell>
          <cell r="AM22">
            <v>0</v>
          </cell>
          <cell r="AN22">
            <v>0</v>
          </cell>
          <cell r="AP22">
            <v>0</v>
          </cell>
          <cell r="AQ22">
            <v>0</v>
          </cell>
          <cell r="AS22">
            <v>2</v>
          </cell>
          <cell r="AT22">
            <v>0</v>
          </cell>
          <cell r="AV22">
            <v>0</v>
          </cell>
          <cell r="AW22">
            <v>0</v>
          </cell>
          <cell r="AY22">
            <v>28</v>
          </cell>
          <cell r="AZ22">
            <v>28</v>
          </cell>
          <cell r="BB22">
            <v>33</v>
          </cell>
          <cell r="BC22">
            <v>33</v>
          </cell>
          <cell r="BE22">
            <v>5</v>
          </cell>
          <cell r="BF22">
            <v>12</v>
          </cell>
          <cell r="BH22">
            <v>9</v>
          </cell>
          <cell r="BI22">
            <v>9</v>
          </cell>
          <cell r="BK22">
            <v>14</v>
          </cell>
          <cell r="BL22">
            <v>14</v>
          </cell>
          <cell r="BN22">
            <v>2</v>
          </cell>
          <cell r="BO22">
            <v>2</v>
          </cell>
          <cell r="BQ22">
            <v>2</v>
          </cell>
          <cell r="BR22">
            <v>2</v>
          </cell>
          <cell r="BT22">
            <v>4</v>
          </cell>
          <cell r="BU22">
            <v>4</v>
          </cell>
          <cell r="BW22">
            <v>0</v>
          </cell>
          <cell r="BX22">
            <v>0</v>
          </cell>
          <cell r="BZ22">
            <v>66</v>
          </cell>
          <cell r="CA22">
            <v>172</v>
          </cell>
          <cell r="CC22">
            <v>9</v>
          </cell>
          <cell r="CD22">
            <v>9</v>
          </cell>
          <cell r="CF22">
            <v>0</v>
          </cell>
          <cell r="CG22">
            <v>0</v>
          </cell>
        </row>
        <row r="23">
          <cell r="A23">
            <v>17</v>
          </cell>
          <cell r="B23" t="str">
            <v>CHRI</v>
          </cell>
          <cell r="C23" t="str">
            <v>Bihar</v>
          </cell>
          <cell r="D23" t="str">
            <v>BNP+</v>
          </cell>
          <cell r="E23" t="str">
            <v>GOPALGANJ</v>
          </cell>
          <cell r="H23">
            <v>61</v>
          </cell>
          <cell r="I23">
            <v>33</v>
          </cell>
          <cell r="K23">
            <v>39</v>
          </cell>
          <cell r="L23">
            <v>41</v>
          </cell>
          <cell r="N23">
            <v>49</v>
          </cell>
          <cell r="O23">
            <v>49</v>
          </cell>
          <cell r="Q23">
            <v>63</v>
          </cell>
          <cell r="R23">
            <v>59</v>
          </cell>
          <cell r="T23">
            <v>404</v>
          </cell>
          <cell r="U23">
            <v>351</v>
          </cell>
          <cell r="W23">
            <v>137</v>
          </cell>
          <cell r="Y23">
            <v>92</v>
          </cell>
          <cell r="AA23">
            <v>53</v>
          </cell>
          <cell r="AB23">
            <v>53</v>
          </cell>
          <cell r="AD23">
            <v>0</v>
          </cell>
          <cell r="AE23">
            <v>0</v>
          </cell>
          <cell r="AJ23">
            <v>307</v>
          </cell>
          <cell r="AK23">
            <v>307</v>
          </cell>
          <cell r="AM23">
            <v>0</v>
          </cell>
          <cell r="AN23">
            <v>0</v>
          </cell>
          <cell r="AP23">
            <v>25</v>
          </cell>
          <cell r="AQ23">
            <v>25</v>
          </cell>
          <cell r="AS23">
            <v>8</v>
          </cell>
          <cell r="AT23">
            <v>8</v>
          </cell>
          <cell r="AV23">
            <v>0</v>
          </cell>
          <cell r="AW23">
            <v>0</v>
          </cell>
          <cell r="AY23">
            <v>9</v>
          </cell>
          <cell r="AZ23">
            <v>9</v>
          </cell>
          <cell r="BB23">
            <v>16</v>
          </cell>
          <cell r="BC23">
            <v>7</v>
          </cell>
          <cell r="BE23">
            <v>5</v>
          </cell>
          <cell r="BF23">
            <v>5</v>
          </cell>
          <cell r="BH23">
            <v>9</v>
          </cell>
          <cell r="BI23">
            <v>9</v>
          </cell>
          <cell r="BK23">
            <v>11</v>
          </cell>
          <cell r="BL23">
            <v>11</v>
          </cell>
          <cell r="BN23">
            <v>4</v>
          </cell>
          <cell r="BO23">
            <v>4</v>
          </cell>
          <cell r="BQ23">
            <v>8</v>
          </cell>
          <cell r="BR23">
            <v>8</v>
          </cell>
          <cell r="BT23">
            <v>4</v>
          </cell>
          <cell r="BU23">
            <v>4</v>
          </cell>
          <cell r="BW23">
            <v>0</v>
          </cell>
          <cell r="BX23">
            <v>0</v>
          </cell>
          <cell r="BZ23">
            <v>33</v>
          </cell>
          <cell r="CA23">
            <v>54</v>
          </cell>
          <cell r="CC23">
            <v>15</v>
          </cell>
          <cell r="CD23">
            <v>11</v>
          </cell>
          <cell r="CF23">
            <v>0</v>
          </cell>
          <cell r="CG23">
            <v>0</v>
          </cell>
        </row>
        <row r="24">
          <cell r="A24">
            <v>18</v>
          </cell>
          <cell r="B24" t="str">
            <v>CHRI</v>
          </cell>
          <cell r="C24" t="str">
            <v>Bihar</v>
          </cell>
          <cell r="D24" t="str">
            <v xml:space="preserve">NIRDESH </v>
          </cell>
          <cell r="E24" t="str">
            <v>SAMASTIPUR</v>
          </cell>
          <cell r="H24">
            <v>71</v>
          </cell>
          <cell r="I24">
            <v>65</v>
          </cell>
          <cell r="K24">
            <v>39</v>
          </cell>
          <cell r="L24">
            <v>35</v>
          </cell>
          <cell r="N24">
            <v>61</v>
          </cell>
          <cell r="O24">
            <v>61</v>
          </cell>
          <cell r="Q24">
            <v>77</v>
          </cell>
          <cell r="R24">
            <v>75</v>
          </cell>
          <cell r="T24">
            <v>112</v>
          </cell>
          <cell r="U24">
            <v>74</v>
          </cell>
          <cell r="W24">
            <v>73</v>
          </cell>
          <cell r="Y24">
            <v>85</v>
          </cell>
          <cell r="AA24">
            <v>2</v>
          </cell>
          <cell r="AB24">
            <v>2</v>
          </cell>
          <cell r="AD24">
            <v>1</v>
          </cell>
          <cell r="AE24">
            <v>1</v>
          </cell>
          <cell r="AJ24">
            <v>206</v>
          </cell>
          <cell r="AK24">
            <v>325</v>
          </cell>
          <cell r="AM24">
            <v>0</v>
          </cell>
          <cell r="AN24">
            <v>0</v>
          </cell>
          <cell r="AP24">
            <v>26</v>
          </cell>
          <cell r="AQ24">
            <v>17</v>
          </cell>
          <cell r="AS24">
            <v>10</v>
          </cell>
          <cell r="AT24">
            <v>5</v>
          </cell>
          <cell r="AV24">
            <v>0</v>
          </cell>
          <cell r="AW24">
            <v>0</v>
          </cell>
          <cell r="AY24">
            <v>0</v>
          </cell>
          <cell r="AZ24">
            <v>10</v>
          </cell>
          <cell r="BB24">
            <v>10</v>
          </cell>
          <cell r="BC24">
            <v>10</v>
          </cell>
          <cell r="BE24">
            <v>1</v>
          </cell>
          <cell r="BF24">
            <v>4</v>
          </cell>
          <cell r="BH24">
            <v>4</v>
          </cell>
          <cell r="BI24">
            <v>3</v>
          </cell>
          <cell r="BK24">
            <v>7</v>
          </cell>
          <cell r="BL24">
            <v>4</v>
          </cell>
          <cell r="BN24">
            <v>2</v>
          </cell>
          <cell r="BO24">
            <v>2</v>
          </cell>
          <cell r="BQ24">
            <v>8</v>
          </cell>
          <cell r="BR24">
            <v>6</v>
          </cell>
          <cell r="BT24">
            <v>11</v>
          </cell>
          <cell r="BU24">
            <v>10</v>
          </cell>
          <cell r="BW24">
            <v>0</v>
          </cell>
          <cell r="BX24">
            <v>0</v>
          </cell>
          <cell r="BZ24">
            <v>65</v>
          </cell>
          <cell r="CA24">
            <v>61</v>
          </cell>
          <cell r="CC24">
            <v>36</v>
          </cell>
          <cell r="CD24">
            <v>42</v>
          </cell>
          <cell r="CF24">
            <v>2</v>
          </cell>
          <cell r="CG24">
            <v>2</v>
          </cell>
        </row>
        <row r="25">
          <cell r="A25">
            <v>19</v>
          </cell>
          <cell r="B25" t="str">
            <v>CHRI</v>
          </cell>
          <cell r="C25" t="str">
            <v>Bihar</v>
          </cell>
          <cell r="D25" t="str">
            <v>BNP+</v>
          </cell>
          <cell r="E25" t="str">
            <v>BHOJPUR</v>
          </cell>
          <cell r="H25">
            <v>195</v>
          </cell>
          <cell r="I25">
            <v>114</v>
          </cell>
          <cell r="K25">
            <v>129</v>
          </cell>
          <cell r="L25">
            <v>118</v>
          </cell>
          <cell r="N25">
            <v>170</v>
          </cell>
          <cell r="O25">
            <v>170</v>
          </cell>
          <cell r="Q25">
            <v>210</v>
          </cell>
          <cell r="R25">
            <v>173</v>
          </cell>
          <cell r="T25">
            <v>207</v>
          </cell>
          <cell r="U25">
            <v>135</v>
          </cell>
          <cell r="W25">
            <v>215</v>
          </cell>
          <cell r="Y25">
            <v>168</v>
          </cell>
          <cell r="AA25">
            <v>10</v>
          </cell>
          <cell r="AB25">
            <v>10</v>
          </cell>
          <cell r="AD25">
            <v>0</v>
          </cell>
          <cell r="AE25">
            <v>0</v>
          </cell>
          <cell r="AJ25">
            <v>637</v>
          </cell>
          <cell r="AK25">
            <v>634</v>
          </cell>
          <cell r="AM25">
            <v>0</v>
          </cell>
          <cell r="AN25">
            <v>0</v>
          </cell>
          <cell r="AP25">
            <v>80</v>
          </cell>
          <cell r="AQ25">
            <v>80</v>
          </cell>
          <cell r="AS25">
            <v>32</v>
          </cell>
          <cell r="AT25">
            <v>23</v>
          </cell>
          <cell r="AV25">
            <v>0</v>
          </cell>
          <cell r="AW25">
            <v>0</v>
          </cell>
          <cell r="AY25">
            <v>82</v>
          </cell>
          <cell r="AZ25">
            <v>70</v>
          </cell>
          <cell r="BB25">
            <v>53</v>
          </cell>
          <cell r="BC25">
            <v>45</v>
          </cell>
          <cell r="BE25">
            <v>14</v>
          </cell>
          <cell r="BF25">
            <v>8</v>
          </cell>
          <cell r="BH25">
            <v>13</v>
          </cell>
          <cell r="BI25">
            <v>12</v>
          </cell>
          <cell r="BK25">
            <v>25</v>
          </cell>
          <cell r="BL25">
            <v>25</v>
          </cell>
          <cell r="BN25">
            <v>10</v>
          </cell>
          <cell r="BO25">
            <v>10</v>
          </cell>
          <cell r="BQ25">
            <v>12</v>
          </cell>
          <cell r="BR25">
            <v>12</v>
          </cell>
          <cell r="BT25">
            <v>5</v>
          </cell>
          <cell r="BU25">
            <v>5</v>
          </cell>
          <cell r="BW25">
            <v>0</v>
          </cell>
          <cell r="BX25">
            <v>0</v>
          </cell>
          <cell r="BZ25">
            <v>114</v>
          </cell>
          <cell r="CA25">
            <v>178</v>
          </cell>
          <cell r="CC25">
            <v>5</v>
          </cell>
          <cell r="CD25">
            <v>5</v>
          </cell>
          <cell r="CF25">
            <v>0</v>
          </cell>
          <cell r="CG25">
            <v>0</v>
          </cell>
        </row>
        <row r="26">
          <cell r="A26">
            <v>20</v>
          </cell>
          <cell r="B26" t="str">
            <v>YRG Care</v>
          </cell>
          <cell r="C26" t="str">
            <v>Delhi</v>
          </cell>
          <cell r="D26" t="str">
            <v>DEVELOPMENT CONSORTIUM</v>
          </cell>
          <cell r="E26" t="str">
            <v>NORTH WEST</v>
          </cell>
          <cell r="H26">
            <v>159</v>
          </cell>
          <cell r="I26">
            <v>131</v>
          </cell>
          <cell r="K26">
            <v>0</v>
          </cell>
          <cell r="L26">
            <v>0</v>
          </cell>
          <cell r="N26">
            <v>154</v>
          </cell>
          <cell r="O26">
            <v>154</v>
          </cell>
          <cell r="Q26">
            <v>168</v>
          </cell>
          <cell r="R26">
            <v>131</v>
          </cell>
          <cell r="T26">
            <v>408</v>
          </cell>
          <cell r="U26">
            <v>306</v>
          </cell>
          <cell r="W26">
            <v>227</v>
          </cell>
          <cell r="Y26">
            <v>192</v>
          </cell>
          <cell r="AA26">
            <v>103</v>
          </cell>
          <cell r="AB26">
            <v>103</v>
          </cell>
          <cell r="AD26">
            <v>80</v>
          </cell>
          <cell r="AE26">
            <v>26</v>
          </cell>
          <cell r="AJ26">
            <v>148</v>
          </cell>
          <cell r="AK26">
            <v>148</v>
          </cell>
          <cell r="AM26">
            <v>0</v>
          </cell>
          <cell r="AN26">
            <v>0</v>
          </cell>
          <cell r="AP26">
            <v>27</v>
          </cell>
          <cell r="AQ26">
            <v>2</v>
          </cell>
          <cell r="AS26">
            <v>0</v>
          </cell>
          <cell r="AT26">
            <v>0</v>
          </cell>
          <cell r="AV26">
            <v>0</v>
          </cell>
          <cell r="AW26">
            <v>2</v>
          </cell>
          <cell r="AY26">
            <v>0</v>
          </cell>
          <cell r="AZ26">
            <v>2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H26">
            <v>13</v>
          </cell>
          <cell r="BI26">
            <v>12</v>
          </cell>
          <cell r="BK26">
            <v>0</v>
          </cell>
          <cell r="BL26">
            <v>0</v>
          </cell>
          <cell r="BN26">
            <v>0</v>
          </cell>
          <cell r="BO26">
            <v>0</v>
          </cell>
          <cell r="BQ26">
            <v>0</v>
          </cell>
          <cell r="BR26">
            <v>0</v>
          </cell>
          <cell r="BT26">
            <v>0</v>
          </cell>
          <cell r="BU26">
            <v>0</v>
          </cell>
          <cell r="BW26">
            <v>0</v>
          </cell>
          <cell r="BX26">
            <v>0</v>
          </cell>
          <cell r="BZ26">
            <v>131</v>
          </cell>
          <cell r="CA26">
            <v>0</v>
          </cell>
          <cell r="CC26">
            <v>28</v>
          </cell>
          <cell r="CD26">
            <v>25</v>
          </cell>
          <cell r="CF26">
            <v>0</v>
          </cell>
          <cell r="CG26">
            <v>0</v>
          </cell>
        </row>
        <row r="27">
          <cell r="A27">
            <v>21</v>
          </cell>
          <cell r="B27" t="str">
            <v>YRG Care</v>
          </cell>
          <cell r="C27" t="str">
            <v>Delhi</v>
          </cell>
          <cell r="D27" t="str">
            <v>RAJMALA WELFARE SOCIETY</v>
          </cell>
          <cell r="E27" t="str">
            <v>CENTRAL</v>
          </cell>
          <cell r="H27">
            <v>279</v>
          </cell>
          <cell r="I27">
            <v>149</v>
          </cell>
          <cell r="K27">
            <v>3</v>
          </cell>
          <cell r="L27">
            <v>0</v>
          </cell>
          <cell r="N27">
            <v>164</v>
          </cell>
          <cell r="O27">
            <v>164</v>
          </cell>
          <cell r="Q27">
            <v>153</v>
          </cell>
          <cell r="R27">
            <v>136</v>
          </cell>
          <cell r="T27">
            <v>759</v>
          </cell>
          <cell r="U27">
            <v>639</v>
          </cell>
          <cell r="W27">
            <v>293</v>
          </cell>
          <cell r="Y27">
            <v>283</v>
          </cell>
          <cell r="AA27">
            <v>53</v>
          </cell>
          <cell r="AB27">
            <v>53</v>
          </cell>
          <cell r="AD27">
            <v>45</v>
          </cell>
          <cell r="AE27">
            <v>45</v>
          </cell>
          <cell r="AJ27">
            <v>821</v>
          </cell>
          <cell r="AK27">
            <v>793</v>
          </cell>
          <cell r="AM27">
            <v>71</v>
          </cell>
          <cell r="AN27">
            <v>59</v>
          </cell>
          <cell r="AP27">
            <v>50</v>
          </cell>
          <cell r="AQ27">
            <v>6</v>
          </cell>
          <cell r="AS27">
            <v>0</v>
          </cell>
          <cell r="AT27">
            <v>67</v>
          </cell>
          <cell r="AV27">
            <v>0</v>
          </cell>
          <cell r="AW27">
            <v>0</v>
          </cell>
          <cell r="AY27">
            <v>0</v>
          </cell>
          <cell r="AZ27">
            <v>1</v>
          </cell>
          <cell r="BB27">
            <v>0</v>
          </cell>
          <cell r="BC27">
            <v>0</v>
          </cell>
          <cell r="BE27">
            <v>0</v>
          </cell>
          <cell r="BF27">
            <v>3</v>
          </cell>
          <cell r="BH27">
            <v>9</v>
          </cell>
          <cell r="BI27">
            <v>7</v>
          </cell>
          <cell r="BK27">
            <v>0</v>
          </cell>
          <cell r="BL27">
            <v>0</v>
          </cell>
          <cell r="BN27">
            <v>0</v>
          </cell>
          <cell r="BO27">
            <v>0</v>
          </cell>
          <cell r="BQ27">
            <v>0</v>
          </cell>
          <cell r="BR27">
            <v>0</v>
          </cell>
          <cell r="BT27">
            <v>0</v>
          </cell>
          <cell r="BU27">
            <v>0</v>
          </cell>
          <cell r="BW27">
            <v>0</v>
          </cell>
          <cell r="BX27">
            <v>0</v>
          </cell>
          <cell r="BZ27">
            <v>149</v>
          </cell>
          <cell r="CA27">
            <v>149</v>
          </cell>
          <cell r="CC27">
            <v>20</v>
          </cell>
          <cell r="CD27">
            <v>9</v>
          </cell>
          <cell r="CF27">
            <v>0</v>
          </cell>
          <cell r="CG27">
            <v>0</v>
          </cell>
        </row>
        <row r="28">
          <cell r="A28">
            <v>22</v>
          </cell>
          <cell r="B28" t="str">
            <v>YRG Care</v>
          </cell>
          <cell r="C28" t="str">
            <v>Delhi</v>
          </cell>
          <cell r="D28" t="str">
            <v>LOVE LIFE SOCIETY</v>
          </cell>
          <cell r="E28" t="str">
            <v>WEST DELHI</v>
          </cell>
          <cell r="H28">
            <v>127</v>
          </cell>
          <cell r="I28">
            <v>125</v>
          </cell>
          <cell r="K28">
            <v>0</v>
          </cell>
          <cell r="L28">
            <v>0</v>
          </cell>
          <cell r="N28">
            <v>101</v>
          </cell>
          <cell r="O28">
            <v>101</v>
          </cell>
          <cell r="Q28">
            <v>94</v>
          </cell>
          <cell r="R28">
            <v>74</v>
          </cell>
          <cell r="T28">
            <v>361</v>
          </cell>
          <cell r="U28">
            <v>330</v>
          </cell>
          <cell r="W28">
            <v>90</v>
          </cell>
          <cell r="Y28">
            <v>116</v>
          </cell>
          <cell r="AA28">
            <v>53</v>
          </cell>
          <cell r="AB28">
            <v>53</v>
          </cell>
          <cell r="AD28">
            <v>40</v>
          </cell>
          <cell r="AE28">
            <v>32</v>
          </cell>
          <cell r="AJ28">
            <v>84</v>
          </cell>
          <cell r="AK28">
            <v>112</v>
          </cell>
          <cell r="AM28">
            <v>0</v>
          </cell>
          <cell r="AN28">
            <v>0</v>
          </cell>
          <cell r="AP28">
            <v>36</v>
          </cell>
          <cell r="AQ28">
            <v>36</v>
          </cell>
          <cell r="AS28">
            <v>20</v>
          </cell>
          <cell r="AT28">
            <v>19</v>
          </cell>
          <cell r="AV28">
            <v>20</v>
          </cell>
          <cell r="AW28">
            <v>18</v>
          </cell>
          <cell r="AY28">
            <v>5</v>
          </cell>
          <cell r="AZ28">
            <v>5</v>
          </cell>
          <cell r="BB28">
            <v>4</v>
          </cell>
          <cell r="BC28">
            <v>3</v>
          </cell>
          <cell r="BE28">
            <v>2</v>
          </cell>
          <cell r="BF28">
            <v>0</v>
          </cell>
          <cell r="BH28">
            <v>1</v>
          </cell>
          <cell r="BI28">
            <v>1</v>
          </cell>
          <cell r="BK28">
            <v>0</v>
          </cell>
          <cell r="BL28">
            <v>0</v>
          </cell>
          <cell r="BN28">
            <v>0</v>
          </cell>
          <cell r="BO28">
            <v>0</v>
          </cell>
          <cell r="BQ28">
            <v>0</v>
          </cell>
          <cell r="BR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0</v>
          </cell>
          <cell r="BZ28">
            <v>125</v>
          </cell>
          <cell r="CA28">
            <v>880</v>
          </cell>
          <cell r="CC28">
            <v>30</v>
          </cell>
          <cell r="CD28">
            <v>19</v>
          </cell>
          <cell r="CF28">
            <v>0</v>
          </cell>
          <cell r="CG28">
            <v>0</v>
          </cell>
        </row>
        <row r="29">
          <cell r="A29">
            <v>23</v>
          </cell>
          <cell r="B29" t="str">
            <v>YRG Care</v>
          </cell>
          <cell r="C29" t="str">
            <v>Delhi</v>
          </cell>
          <cell r="D29" t="str">
            <v>ABHIVYAKTI FOUNDATION</v>
          </cell>
          <cell r="E29" t="str">
            <v>NORTH EAST</v>
          </cell>
          <cell r="H29">
            <v>191</v>
          </cell>
          <cell r="I29">
            <v>161</v>
          </cell>
          <cell r="K29">
            <v>0</v>
          </cell>
          <cell r="L29">
            <v>0</v>
          </cell>
          <cell r="N29">
            <v>168</v>
          </cell>
          <cell r="O29">
            <v>168</v>
          </cell>
          <cell r="Q29">
            <v>153</v>
          </cell>
          <cell r="R29">
            <v>118</v>
          </cell>
          <cell r="T29">
            <v>717</v>
          </cell>
          <cell r="U29">
            <v>512</v>
          </cell>
          <cell r="W29">
            <v>231</v>
          </cell>
          <cell r="Y29">
            <v>185</v>
          </cell>
          <cell r="AA29">
            <v>26</v>
          </cell>
          <cell r="AB29">
            <v>26</v>
          </cell>
          <cell r="AD29">
            <v>36</v>
          </cell>
          <cell r="AE29">
            <v>10</v>
          </cell>
          <cell r="AJ29">
            <v>571</v>
          </cell>
          <cell r="AK29">
            <v>468</v>
          </cell>
          <cell r="AM29">
            <v>4</v>
          </cell>
          <cell r="AN29">
            <v>0</v>
          </cell>
          <cell r="AP29">
            <v>69</v>
          </cell>
          <cell r="AQ29">
            <v>7</v>
          </cell>
          <cell r="AS29">
            <v>0</v>
          </cell>
          <cell r="AT29">
            <v>0</v>
          </cell>
          <cell r="AV29">
            <v>14</v>
          </cell>
          <cell r="AW29">
            <v>9</v>
          </cell>
          <cell r="AY29">
            <v>31</v>
          </cell>
          <cell r="AZ29">
            <v>13</v>
          </cell>
          <cell r="BB29">
            <v>6</v>
          </cell>
          <cell r="BC29">
            <v>2</v>
          </cell>
          <cell r="BE29">
            <v>0</v>
          </cell>
          <cell r="BF29">
            <v>0</v>
          </cell>
          <cell r="BH29">
            <v>7</v>
          </cell>
          <cell r="BI29">
            <v>3</v>
          </cell>
          <cell r="BK29">
            <v>4</v>
          </cell>
          <cell r="BL29">
            <v>4</v>
          </cell>
          <cell r="BN29">
            <v>0</v>
          </cell>
          <cell r="BO29">
            <v>0</v>
          </cell>
          <cell r="BQ29">
            <v>1</v>
          </cell>
          <cell r="BR29">
            <v>1</v>
          </cell>
          <cell r="BT29">
            <v>0</v>
          </cell>
          <cell r="BU29">
            <v>0</v>
          </cell>
          <cell r="BW29">
            <v>0</v>
          </cell>
          <cell r="BX29">
            <v>0</v>
          </cell>
          <cell r="BZ29">
            <v>161</v>
          </cell>
          <cell r="CA29">
            <v>0</v>
          </cell>
          <cell r="CC29">
            <v>9</v>
          </cell>
          <cell r="CD29">
            <v>9</v>
          </cell>
          <cell r="CF29">
            <v>0</v>
          </cell>
          <cell r="CG29">
            <v>0</v>
          </cell>
        </row>
        <row r="30">
          <cell r="A30">
            <v>24</v>
          </cell>
          <cell r="B30" t="str">
            <v>YRG Care</v>
          </cell>
          <cell r="C30" t="str">
            <v>Delhi</v>
          </cell>
          <cell r="D30" t="str">
            <v>SARASWATHI EDUCATIONAL SOCIETY</v>
          </cell>
          <cell r="E30" t="str">
            <v>SOUTH DELHI</v>
          </cell>
          <cell r="H30">
            <v>223</v>
          </cell>
          <cell r="I30">
            <v>171</v>
          </cell>
          <cell r="K30">
            <v>0</v>
          </cell>
          <cell r="L30">
            <v>0</v>
          </cell>
          <cell r="N30">
            <v>192</v>
          </cell>
          <cell r="O30">
            <v>192</v>
          </cell>
          <cell r="Q30">
            <v>186</v>
          </cell>
          <cell r="R30">
            <v>177</v>
          </cell>
          <cell r="T30">
            <v>1097</v>
          </cell>
          <cell r="U30">
            <v>978</v>
          </cell>
          <cell r="W30">
            <v>310</v>
          </cell>
          <cell r="Y30">
            <v>219</v>
          </cell>
          <cell r="AA30">
            <v>168</v>
          </cell>
          <cell r="AB30">
            <v>168</v>
          </cell>
          <cell r="AD30">
            <v>170</v>
          </cell>
          <cell r="AE30">
            <v>163</v>
          </cell>
          <cell r="AJ30">
            <v>252</v>
          </cell>
          <cell r="AK30">
            <v>234</v>
          </cell>
          <cell r="AM30">
            <v>0</v>
          </cell>
          <cell r="AN30">
            <v>0</v>
          </cell>
          <cell r="AP30">
            <v>37</v>
          </cell>
          <cell r="AQ30">
            <v>0</v>
          </cell>
          <cell r="AS30">
            <v>0</v>
          </cell>
          <cell r="AT30">
            <v>0</v>
          </cell>
          <cell r="AV30">
            <v>0</v>
          </cell>
          <cell r="AW30">
            <v>0</v>
          </cell>
          <cell r="AY30">
            <v>0</v>
          </cell>
          <cell r="AZ30">
            <v>0</v>
          </cell>
          <cell r="BB30">
            <v>3</v>
          </cell>
          <cell r="BC30">
            <v>3</v>
          </cell>
          <cell r="BE30">
            <v>11</v>
          </cell>
          <cell r="BF30">
            <v>0</v>
          </cell>
          <cell r="BH30">
            <v>0</v>
          </cell>
          <cell r="BI30">
            <v>0</v>
          </cell>
          <cell r="BK30">
            <v>4</v>
          </cell>
          <cell r="BL30">
            <v>3</v>
          </cell>
          <cell r="BN30">
            <v>0</v>
          </cell>
          <cell r="BO30">
            <v>0</v>
          </cell>
          <cell r="BQ30">
            <v>0</v>
          </cell>
          <cell r="BR30">
            <v>0</v>
          </cell>
          <cell r="BT30">
            <v>0</v>
          </cell>
          <cell r="BU30">
            <v>0</v>
          </cell>
          <cell r="BW30">
            <v>0</v>
          </cell>
          <cell r="BX30">
            <v>0</v>
          </cell>
          <cell r="BZ30">
            <v>171</v>
          </cell>
          <cell r="CA30">
            <v>0</v>
          </cell>
          <cell r="CC30">
            <v>37</v>
          </cell>
          <cell r="CD30">
            <v>34</v>
          </cell>
          <cell r="CF30">
            <v>10</v>
          </cell>
          <cell r="CG30">
            <v>10</v>
          </cell>
        </row>
        <row r="31">
          <cell r="A31">
            <v>25</v>
          </cell>
          <cell r="B31" t="str">
            <v>CHRI</v>
          </cell>
          <cell r="C31" t="str">
            <v>MEGHALAYA</v>
          </cell>
          <cell r="D31" t="str">
            <v>MSNP+</v>
          </cell>
          <cell r="E31" t="str">
            <v>EAST KHASI HILLS</v>
          </cell>
          <cell r="H31">
            <v>289</v>
          </cell>
          <cell r="I31">
            <v>202</v>
          </cell>
          <cell r="K31">
            <v>0</v>
          </cell>
          <cell r="L31">
            <v>0</v>
          </cell>
          <cell r="N31">
            <v>299</v>
          </cell>
          <cell r="O31">
            <v>299</v>
          </cell>
          <cell r="Q31">
            <v>209</v>
          </cell>
          <cell r="R31">
            <v>148</v>
          </cell>
          <cell r="T31">
            <v>1275</v>
          </cell>
          <cell r="U31">
            <v>632</v>
          </cell>
          <cell r="W31">
            <v>473</v>
          </cell>
          <cell r="Y31">
            <v>115</v>
          </cell>
          <cell r="AA31">
            <v>94</v>
          </cell>
          <cell r="AB31">
            <v>94</v>
          </cell>
          <cell r="AD31">
            <v>80</v>
          </cell>
          <cell r="AE31">
            <v>26</v>
          </cell>
          <cell r="AJ31">
            <v>361</v>
          </cell>
          <cell r="AK31">
            <v>180</v>
          </cell>
          <cell r="AM31">
            <v>0</v>
          </cell>
          <cell r="AN31">
            <v>0</v>
          </cell>
          <cell r="AP31">
            <v>122</v>
          </cell>
          <cell r="AQ31">
            <v>17</v>
          </cell>
          <cell r="AS31">
            <v>75</v>
          </cell>
          <cell r="AT31">
            <v>37</v>
          </cell>
          <cell r="AV31">
            <v>10</v>
          </cell>
          <cell r="AW31">
            <v>3</v>
          </cell>
          <cell r="AY31">
            <v>135</v>
          </cell>
          <cell r="AZ31">
            <v>75</v>
          </cell>
          <cell r="BB31">
            <v>33</v>
          </cell>
          <cell r="BC31">
            <v>4</v>
          </cell>
          <cell r="BE31">
            <v>0</v>
          </cell>
          <cell r="BF31">
            <v>18</v>
          </cell>
          <cell r="BH31">
            <v>26</v>
          </cell>
          <cell r="BI31">
            <v>9</v>
          </cell>
          <cell r="BK31">
            <v>9</v>
          </cell>
          <cell r="BL31">
            <v>9</v>
          </cell>
          <cell r="BN31">
            <v>5</v>
          </cell>
          <cell r="BO31">
            <v>2</v>
          </cell>
          <cell r="BQ31">
            <v>8</v>
          </cell>
          <cell r="BR31">
            <v>2</v>
          </cell>
          <cell r="BT31">
            <v>7</v>
          </cell>
          <cell r="BU31">
            <v>2</v>
          </cell>
          <cell r="BW31">
            <v>1</v>
          </cell>
          <cell r="BX31">
            <v>1</v>
          </cell>
          <cell r="BZ31">
            <v>202</v>
          </cell>
          <cell r="CA31">
            <v>202</v>
          </cell>
          <cell r="CC31">
            <v>30</v>
          </cell>
          <cell r="CD31">
            <v>30</v>
          </cell>
          <cell r="CF31">
            <v>28</v>
          </cell>
          <cell r="CG31">
            <v>28</v>
          </cell>
        </row>
        <row r="32">
          <cell r="A32">
            <v>26</v>
          </cell>
          <cell r="B32" t="str">
            <v>CHRI</v>
          </cell>
          <cell r="C32" t="str">
            <v>Nagaland</v>
          </cell>
          <cell r="D32" t="str">
            <v>NNP+</v>
          </cell>
          <cell r="E32" t="str">
            <v>DIMAPUR</v>
          </cell>
          <cell r="H32">
            <v>182</v>
          </cell>
          <cell r="I32">
            <v>163</v>
          </cell>
          <cell r="K32">
            <v>0</v>
          </cell>
          <cell r="L32">
            <v>0</v>
          </cell>
          <cell r="N32">
            <v>184</v>
          </cell>
          <cell r="O32">
            <v>184</v>
          </cell>
          <cell r="Q32">
            <v>227</v>
          </cell>
          <cell r="R32">
            <v>197</v>
          </cell>
          <cell r="T32">
            <v>1236</v>
          </cell>
          <cell r="U32">
            <v>876</v>
          </cell>
          <cell r="W32">
            <v>317</v>
          </cell>
          <cell r="Y32">
            <v>274</v>
          </cell>
          <cell r="AA32">
            <v>153</v>
          </cell>
          <cell r="AB32">
            <v>153</v>
          </cell>
          <cell r="AD32">
            <v>149</v>
          </cell>
          <cell r="AE32">
            <v>30</v>
          </cell>
          <cell r="AJ32">
            <v>1084</v>
          </cell>
          <cell r="AK32">
            <v>888</v>
          </cell>
          <cell r="AM32">
            <v>2</v>
          </cell>
          <cell r="AN32">
            <v>2</v>
          </cell>
          <cell r="AP32">
            <v>48</v>
          </cell>
          <cell r="AQ32">
            <v>27</v>
          </cell>
          <cell r="AS32">
            <v>15</v>
          </cell>
          <cell r="AT32">
            <v>19</v>
          </cell>
          <cell r="AV32">
            <v>2</v>
          </cell>
          <cell r="AW32">
            <v>2</v>
          </cell>
          <cell r="AY32">
            <v>25</v>
          </cell>
          <cell r="AZ32">
            <v>34</v>
          </cell>
          <cell r="BB32">
            <v>10</v>
          </cell>
          <cell r="BC32">
            <v>17</v>
          </cell>
          <cell r="BE32">
            <v>8</v>
          </cell>
          <cell r="BF32">
            <v>8</v>
          </cell>
          <cell r="BH32">
            <v>12</v>
          </cell>
          <cell r="BI32">
            <v>12</v>
          </cell>
          <cell r="BK32">
            <v>14</v>
          </cell>
          <cell r="BL32">
            <v>14</v>
          </cell>
          <cell r="BN32">
            <v>5</v>
          </cell>
          <cell r="BO32">
            <v>5</v>
          </cell>
          <cell r="BQ32">
            <v>8</v>
          </cell>
          <cell r="BR32">
            <v>8</v>
          </cell>
          <cell r="BT32">
            <v>5</v>
          </cell>
          <cell r="BU32">
            <v>5</v>
          </cell>
          <cell r="BW32">
            <v>0</v>
          </cell>
          <cell r="BX32">
            <v>0</v>
          </cell>
          <cell r="BZ32">
            <v>163</v>
          </cell>
          <cell r="CA32">
            <v>182</v>
          </cell>
          <cell r="CC32">
            <v>23</v>
          </cell>
          <cell r="CD32">
            <v>22</v>
          </cell>
          <cell r="CF32">
            <v>0</v>
          </cell>
          <cell r="CG32">
            <v>0</v>
          </cell>
        </row>
        <row r="33">
          <cell r="A33">
            <v>27</v>
          </cell>
          <cell r="B33" t="str">
            <v>CHRI</v>
          </cell>
          <cell r="C33" t="str">
            <v>Nagaland</v>
          </cell>
          <cell r="D33" t="str">
            <v>NETWORK OF KOHIMA DISTRICT PEOPLE LIVING WITH HIV/AIDS(KNP+)</v>
          </cell>
          <cell r="E33" t="str">
            <v>KOHIMA</v>
          </cell>
          <cell r="H33">
            <v>108</v>
          </cell>
          <cell r="I33">
            <v>107</v>
          </cell>
          <cell r="K33">
            <v>0</v>
          </cell>
          <cell r="L33">
            <v>0</v>
          </cell>
          <cell r="N33">
            <v>125</v>
          </cell>
          <cell r="O33">
            <v>125</v>
          </cell>
          <cell r="Q33">
            <v>110</v>
          </cell>
          <cell r="R33">
            <v>93</v>
          </cell>
          <cell r="T33">
            <v>473</v>
          </cell>
          <cell r="U33">
            <v>336</v>
          </cell>
          <cell r="W33">
            <v>76</v>
          </cell>
          <cell r="Y33">
            <v>66</v>
          </cell>
          <cell r="AA33">
            <v>50</v>
          </cell>
          <cell r="AB33">
            <v>50</v>
          </cell>
          <cell r="AD33">
            <v>67</v>
          </cell>
          <cell r="AE33">
            <v>34</v>
          </cell>
          <cell r="AJ33">
            <v>644</v>
          </cell>
          <cell r="AK33">
            <v>632</v>
          </cell>
          <cell r="AM33">
            <v>0</v>
          </cell>
          <cell r="AN33">
            <v>0</v>
          </cell>
          <cell r="AP33">
            <v>20</v>
          </cell>
          <cell r="AQ33">
            <v>5</v>
          </cell>
          <cell r="AS33">
            <v>1</v>
          </cell>
          <cell r="AT33">
            <v>1</v>
          </cell>
          <cell r="AV33">
            <v>0</v>
          </cell>
          <cell r="AW33">
            <v>0</v>
          </cell>
          <cell r="AY33">
            <v>1</v>
          </cell>
          <cell r="AZ33">
            <v>1</v>
          </cell>
          <cell r="BB33">
            <v>19</v>
          </cell>
          <cell r="BC33">
            <v>4</v>
          </cell>
          <cell r="BE33">
            <v>1</v>
          </cell>
          <cell r="BF33">
            <v>1</v>
          </cell>
          <cell r="BH33">
            <v>5</v>
          </cell>
          <cell r="BI33">
            <v>4</v>
          </cell>
          <cell r="BK33">
            <v>12</v>
          </cell>
          <cell r="BL33">
            <v>11</v>
          </cell>
          <cell r="BN33">
            <v>5</v>
          </cell>
          <cell r="BO33">
            <v>5</v>
          </cell>
          <cell r="BQ33">
            <v>6</v>
          </cell>
          <cell r="BR33">
            <v>6</v>
          </cell>
          <cell r="BT33">
            <v>8</v>
          </cell>
          <cell r="BU33">
            <v>8</v>
          </cell>
          <cell r="BW33">
            <v>0</v>
          </cell>
          <cell r="BX33">
            <v>0</v>
          </cell>
          <cell r="BZ33">
            <v>107</v>
          </cell>
          <cell r="CA33">
            <v>125</v>
          </cell>
          <cell r="CC33">
            <v>6</v>
          </cell>
          <cell r="CD33">
            <v>9</v>
          </cell>
          <cell r="CF33">
            <v>0</v>
          </cell>
          <cell r="CG33">
            <v>0</v>
          </cell>
        </row>
        <row r="34">
          <cell r="A34">
            <v>28</v>
          </cell>
          <cell r="B34" t="str">
            <v>CHRI</v>
          </cell>
          <cell r="C34" t="str">
            <v>Nagaland</v>
          </cell>
          <cell r="D34" t="str">
            <v>TUENSANG</v>
          </cell>
          <cell r="E34" t="e">
            <v>#REF!</v>
          </cell>
          <cell r="H34">
            <v>40</v>
          </cell>
          <cell r="I34">
            <v>30</v>
          </cell>
          <cell r="K34">
            <v>0</v>
          </cell>
          <cell r="L34">
            <v>0</v>
          </cell>
          <cell r="N34">
            <v>53</v>
          </cell>
          <cell r="O34">
            <v>53</v>
          </cell>
          <cell r="Q34">
            <v>46</v>
          </cell>
          <cell r="R34">
            <v>44</v>
          </cell>
          <cell r="T34">
            <v>368</v>
          </cell>
          <cell r="U34">
            <v>337</v>
          </cell>
          <cell r="W34">
            <v>31</v>
          </cell>
          <cell r="Y34">
            <v>42</v>
          </cell>
          <cell r="AA34">
            <v>69</v>
          </cell>
          <cell r="AB34">
            <v>69</v>
          </cell>
          <cell r="AD34">
            <v>56</v>
          </cell>
          <cell r="AE34">
            <v>5</v>
          </cell>
          <cell r="AJ34">
            <v>182</v>
          </cell>
          <cell r="AK34">
            <v>145</v>
          </cell>
          <cell r="AM34">
            <v>0</v>
          </cell>
          <cell r="AN34">
            <v>0</v>
          </cell>
          <cell r="AP34">
            <v>9</v>
          </cell>
          <cell r="AQ34">
            <v>8</v>
          </cell>
          <cell r="AS34">
            <v>3</v>
          </cell>
          <cell r="AT34">
            <v>3</v>
          </cell>
          <cell r="AV34">
            <v>0</v>
          </cell>
          <cell r="AW34">
            <v>0</v>
          </cell>
          <cell r="AY34">
            <v>23</v>
          </cell>
          <cell r="AZ34">
            <v>23</v>
          </cell>
          <cell r="BB34">
            <v>19</v>
          </cell>
          <cell r="BC34">
            <v>19</v>
          </cell>
          <cell r="BE34">
            <v>3</v>
          </cell>
          <cell r="BF34">
            <v>3</v>
          </cell>
          <cell r="BH34">
            <v>12</v>
          </cell>
          <cell r="BI34">
            <v>12</v>
          </cell>
          <cell r="BK34">
            <v>8</v>
          </cell>
          <cell r="BL34">
            <v>8</v>
          </cell>
          <cell r="BN34">
            <v>3</v>
          </cell>
          <cell r="BO34">
            <v>3</v>
          </cell>
          <cell r="BQ34">
            <v>11</v>
          </cell>
          <cell r="BR34">
            <v>11</v>
          </cell>
          <cell r="BT34">
            <v>1</v>
          </cell>
          <cell r="BU34">
            <v>1</v>
          </cell>
          <cell r="BW34">
            <v>0</v>
          </cell>
          <cell r="BX34">
            <v>0</v>
          </cell>
          <cell r="BZ34">
            <v>30</v>
          </cell>
          <cell r="CA34">
            <v>53</v>
          </cell>
          <cell r="CC34">
            <v>5</v>
          </cell>
          <cell r="CD34">
            <v>7</v>
          </cell>
          <cell r="CF34">
            <v>0</v>
          </cell>
          <cell r="CG34">
            <v>0</v>
          </cell>
        </row>
        <row r="35">
          <cell r="A35">
            <v>29</v>
          </cell>
          <cell r="B35" t="str">
            <v>YRG Care</v>
          </cell>
          <cell r="C35" t="str">
            <v>Odisha</v>
          </cell>
          <cell r="D35" t="str">
            <v>KNP+</v>
          </cell>
          <cell r="E35" t="str">
            <v>MAYURBHANJ</v>
          </cell>
          <cell r="H35">
            <v>28</v>
          </cell>
          <cell r="I35">
            <v>31</v>
          </cell>
          <cell r="K35">
            <v>0</v>
          </cell>
          <cell r="L35">
            <v>0</v>
          </cell>
          <cell r="N35">
            <v>14</v>
          </cell>
          <cell r="O35">
            <v>14</v>
          </cell>
          <cell r="Q35">
            <v>19</v>
          </cell>
          <cell r="R35">
            <v>14</v>
          </cell>
          <cell r="T35">
            <v>124</v>
          </cell>
          <cell r="U35">
            <v>100</v>
          </cell>
          <cell r="W35">
            <v>38</v>
          </cell>
          <cell r="Y35">
            <v>44</v>
          </cell>
          <cell r="AA35">
            <v>0</v>
          </cell>
          <cell r="AB35">
            <v>0</v>
          </cell>
          <cell r="AD35">
            <v>0</v>
          </cell>
          <cell r="AE35">
            <v>0</v>
          </cell>
          <cell r="AJ35">
            <v>29</v>
          </cell>
          <cell r="AK35">
            <v>27</v>
          </cell>
          <cell r="AM35">
            <v>0</v>
          </cell>
          <cell r="AN35">
            <v>0</v>
          </cell>
          <cell r="AP35">
            <v>17</v>
          </cell>
          <cell r="AQ35">
            <v>11</v>
          </cell>
          <cell r="AS35">
            <v>2</v>
          </cell>
          <cell r="AT35">
            <v>1</v>
          </cell>
          <cell r="AV35">
            <v>0</v>
          </cell>
          <cell r="AW35">
            <v>0</v>
          </cell>
          <cell r="AY35">
            <v>4</v>
          </cell>
          <cell r="AZ35">
            <v>6</v>
          </cell>
          <cell r="BB35">
            <v>2</v>
          </cell>
          <cell r="BC35">
            <v>5</v>
          </cell>
          <cell r="BE35">
            <v>1</v>
          </cell>
          <cell r="BF35">
            <v>1</v>
          </cell>
          <cell r="BH35">
            <v>0</v>
          </cell>
          <cell r="BI35">
            <v>0</v>
          </cell>
          <cell r="BK35">
            <v>0</v>
          </cell>
          <cell r="BL35">
            <v>0</v>
          </cell>
          <cell r="BN35">
            <v>4</v>
          </cell>
          <cell r="BO35">
            <v>2</v>
          </cell>
          <cell r="BQ35">
            <v>3</v>
          </cell>
          <cell r="BR35">
            <v>3</v>
          </cell>
          <cell r="BT35">
            <v>0</v>
          </cell>
          <cell r="BU35">
            <v>1</v>
          </cell>
          <cell r="BW35">
            <v>0</v>
          </cell>
          <cell r="BX35">
            <v>0</v>
          </cell>
          <cell r="BZ35">
            <v>31</v>
          </cell>
          <cell r="CA35">
            <v>31</v>
          </cell>
          <cell r="CC35">
            <v>2</v>
          </cell>
          <cell r="CD35">
            <v>2</v>
          </cell>
          <cell r="CF35">
            <v>0</v>
          </cell>
          <cell r="CG35">
            <v>0</v>
          </cell>
        </row>
        <row r="36">
          <cell r="A36">
            <v>30</v>
          </cell>
          <cell r="B36" t="str">
            <v>YRG Care</v>
          </cell>
          <cell r="C36" t="str">
            <v>Rajasthan</v>
          </cell>
          <cell r="D36" t="str">
            <v>ALWAR NETWORK FOR PEOPLE LIVING WITH HIV/AIDS - ALWAR</v>
          </cell>
          <cell r="E36" t="str">
            <v>ALWAR</v>
          </cell>
          <cell r="H36">
            <v>43</v>
          </cell>
          <cell r="I36">
            <v>43</v>
          </cell>
          <cell r="K36">
            <v>0</v>
          </cell>
          <cell r="L36">
            <v>0</v>
          </cell>
          <cell r="N36">
            <v>34</v>
          </cell>
          <cell r="O36">
            <v>34</v>
          </cell>
          <cell r="Q36">
            <v>40</v>
          </cell>
          <cell r="R36">
            <v>37</v>
          </cell>
          <cell r="T36">
            <v>280</v>
          </cell>
          <cell r="U36">
            <v>151</v>
          </cell>
          <cell r="W36">
            <v>59</v>
          </cell>
          <cell r="Y36">
            <v>38</v>
          </cell>
          <cell r="AA36">
            <v>55</v>
          </cell>
          <cell r="AB36">
            <v>55</v>
          </cell>
          <cell r="AD36">
            <v>47</v>
          </cell>
          <cell r="AE36">
            <v>20</v>
          </cell>
          <cell r="AJ36">
            <v>52</v>
          </cell>
          <cell r="AK36">
            <v>52</v>
          </cell>
          <cell r="AM36">
            <v>0</v>
          </cell>
          <cell r="AN36">
            <v>0</v>
          </cell>
          <cell r="AP36">
            <v>0</v>
          </cell>
          <cell r="AQ36">
            <v>0</v>
          </cell>
          <cell r="AS36">
            <v>0</v>
          </cell>
          <cell r="AT36">
            <v>0</v>
          </cell>
          <cell r="AV36">
            <v>0</v>
          </cell>
          <cell r="AW36">
            <v>0</v>
          </cell>
          <cell r="AY36">
            <v>0</v>
          </cell>
          <cell r="AZ36">
            <v>0</v>
          </cell>
          <cell r="BB36">
            <v>20</v>
          </cell>
          <cell r="BC36">
            <v>20</v>
          </cell>
          <cell r="BE36">
            <v>0</v>
          </cell>
          <cell r="BF36">
            <v>0</v>
          </cell>
          <cell r="BH36">
            <v>0</v>
          </cell>
          <cell r="BI36">
            <v>0</v>
          </cell>
          <cell r="BK36">
            <v>0</v>
          </cell>
          <cell r="BL36">
            <v>0</v>
          </cell>
          <cell r="BN36">
            <v>0</v>
          </cell>
          <cell r="BO36">
            <v>0</v>
          </cell>
          <cell r="BQ36">
            <v>0</v>
          </cell>
          <cell r="BR36">
            <v>0</v>
          </cell>
          <cell r="BT36">
            <v>0</v>
          </cell>
          <cell r="BU36">
            <v>0</v>
          </cell>
          <cell r="BW36">
            <v>0</v>
          </cell>
          <cell r="BX36">
            <v>0</v>
          </cell>
          <cell r="BZ36">
            <v>43</v>
          </cell>
          <cell r="CA36">
            <v>43</v>
          </cell>
          <cell r="CC36">
            <v>0</v>
          </cell>
          <cell r="CD36">
            <v>44</v>
          </cell>
          <cell r="CF36">
            <v>0</v>
          </cell>
          <cell r="CG36">
            <v>0</v>
          </cell>
        </row>
        <row r="37">
          <cell r="A37">
            <v>31</v>
          </cell>
          <cell r="B37" t="str">
            <v>YRG Care</v>
          </cell>
          <cell r="C37" t="str">
            <v>Rajasthan</v>
          </cell>
          <cell r="D37" t="str">
            <v>BHILWARA NETWORK FOR PEOPLE LIVING WITH HIV/AIDS SANSTHAN - BHILWARA</v>
          </cell>
          <cell r="E37" t="str">
            <v>BHILWARA</v>
          </cell>
          <cell r="H37">
            <v>69</v>
          </cell>
          <cell r="I37">
            <v>68</v>
          </cell>
          <cell r="K37">
            <v>0</v>
          </cell>
          <cell r="L37">
            <v>0</v>
          </cell>
          <cell r="N37">
            <v>66</v>
          </cell>
          <cell r="O37">
            <v>65</v>
          </cell>
          <cell r="Q37">
            <v>84</v>
          </cell>
          <cell r="R37">
            <v>81</v>
          </cell>
          <cell r="T37">
            <v>441</v>
          </cell>
          <cell r="U37">
            <v>263</v>
          </cell>
          <cell r="W37">
            <v>244</v>
          </cell>
          <cell r="Y37">
            <v>181</v>
          </cell>
          <cell r="AA37">
            <v>23</v>
          </cell>
          <cell r="AB37">
            <v>23</v>
          </cell>
          <cell r="AD37">
            <v>13</v>
          </cell>
          <cell r="AE37">
            <v>4</v>
          </cell>
          <cell r="AJ37">
            <v>50</v>
          </cell>
          <cell r="AK37">
            <v>34</v>
          </cell>
          <cell r="AM37">
            <v>1</v>
          </cell>
          <cell r="AN37">
            <v>1</v>
          </cell>
          <cell r="AP37">
            <v>47</v>
          </cell>
          <cell r="AQ37">
            <v>17</v>
          </cell>
          <cell r="AS37">
            <v>12</v>
          </cell>
          <cell r="AT37">
            <v>12</v>
          </cell>
          <cell r="AV37">
            <v>0</v>
          </cell>
          <cell r="AW37">
            <v>0</v>
          </cell>
          <cell r="AY37">
            <v>8</v>
          </cell>
          <cell r="AZ37">
            <v>8</v>
          </cell>
          <cell r="BB37">
            <v>0</v>
          </cell>
          <cell r="BC37">
            <v>8</v>
          </cell>
          <cell r="BE37">
            <v>0</v>
          </cell>
          <cell r="BF37">
            <v>0</v>
          </cell>
          <cell r="BH37">
            <v>0</v>
          </cell>
          <cell r="BI37">
            <v>0</v>
          </cell>
          <cell r="BK37">
            <v>6</v>
          </cell>
          <cell r="BL37">
            <v>5</v>
          </cell>
          <cell r="BN37">
            <v>6</v>
          </cell>
          <cell r="BO37">
            <v>5</v>
          </cell>
          <cell r="BQ37">
            <v>6</v>
          </cell>
          <cell r="BR37">
            <v>6</v>
          </cell>
          <cell r="BT37">
            <v>4</v>
          </cell>
          <cell r="BU37">
            <v>3</v>
          </cell>
          <cell r="BW37">
            <v>0</v>
          </cell>
          <cell r="BX37">
            <v>0</v>
          </cell>
          <cell r="BZ37">
            <v>68</v>
          </cell>
          <cell r="CA37">
            <v>68</v>
          </cell>
          <cell r="CC37">
            <v>7</v>
          </cell>
          <cell r="CD37">
            <v>3</v>
          </cell>
          <cell r="CF37">
            <v>0</v>
          </cell>
          <cell r="CG37">
            <v>0</v>
          </cell>
        </row>
        <row r="38">
          <cell r="A38">
            <v>32</v>
          </cell>
          <cell r="B38" t="str">
            <v>YRG Care</v>
          </cell>
          <cell r="C38" t="str">
            <v>Rajasthan</v>
          </cell>
          <cell r="D38" t="str">
            <v>BIKANER NETWORK FOR PEOPLES LIVING WITH HIV SANSTHAN</v>
          </cell>
          <cell r="E38" t="str">
            <v>BIKANER</v>
          </cell>
          <cell r="H38">
            <v>40</v>
          </cell>
          <cell r="I38">
            <v>36</v>
          </cell>
          <cell r="K38">
            <v>5</v>
          </cell>
          <cell r="L38">
            <v>1</v>
          </cell>
          <cell r="N38">
            <v>38</v>
          </cell>
          <cell r="O38">
            <v>38</v>
          </cell>
          <cell r="Q38">
            <v>40</v>
          </cell>
          <cell r="R38">
            <v>35</v>
          </cell>
          <cell r="T38">
            <v>157</v>
          </cell>
          <cell r="U38">
            <v>115</v>
          </cell>
          <cell r="W38">
            <v>64</v>
          </cell>
          <cell r="Y38">
            <v>51</v>
          </cell>
          <cell r="AA38">
            <v>16</v>
          </cell>
          <cell r="AB38">
            <v>16</v>
          </cell>
          <cell r="AD38">
            <v>34</v>
          </cell>
          <cell r="AE38">
            <v>24</v>
          </cell>
          <cell r="AJ38">
            <v>0</v>
          </cell>
          <cell r="AK38">
            <v>0</v>
          </cell>
          <cell r="AM38">
            <v>0</v>
          </cell>
          <cell r="AN38">
            <v>0</v>
          </cell>
          <cell r="AP38">
            <v>0</v>
          </cell>
          <cell r="AQ38">
            <v>0</v>
          </cell>
          <cell r="AS38">
            <v>2</v>
          </cell>
          <cell r="AT38">
            <v>1</v>
          </cell>
          <cell r="AV38">
            <v>0</v>
          </cell>
          <cell r="AW38">
            <v>0</v>
          </cell>
          <cell r="AY38">
            <v>0</v>
          </cell>
          <cell r="AZ38">
            <v>0</v>
          </cell>
          <cell r="BB38">
            <v>1</v>
          </cell>
          <cell r="BC38">
            <v>1</v>
          </cell>
          <cell r="BE38">
            <v>0</v>
          </cell>
          <cell r="BF38">
            <v>0</v>
          </cell>
          <cell r="BH38">
            <v>0</v>
          </cell>
          <cell r="BI38">
            <v>0</v>
          </cell>
          <cell r="BK38">
            <v>0</v>
          </cell>
          <cell r="BL38">
            <v>0</v>
          </cell>
          <cell r="BN38">
            <v>0</v>
          </cell>
          <cell r="BO38">
            <v>0</v>
          </cell>
          <cell r="BQ38">
            <v>0</v>
          </cell>
          <cell r="BR38">
            <v>0</v>
          </cell>
          <cell r="BT38">
            <v>0</v>
          </cell>
          <cell r="BU38">
            <v>0</v>
          </cell>
          <cell r="BW38">
            <v>0</v>
          </cell>
          <cell r="BX38">
            <v>0</v>
          </cell>
          <cell r="BZ38">
            <v>36</v>
          </cell>
          <cell r="CA38">
            <v>36</v>
          </cell>
          <cell r="CC38">
            <v>21</v>
          </cell>
          <cell r="CD38">
            <v>21</v>
          </cell>
          <cell r="CF38">
            <v>0</v>
          </cell>
          <cell r="CG38">
            <v>0</v>
          </cell>
        </row>
        <row r="39">
          <cell r="A39">
            <v>33</v>
          </cell>
          <cell r="B39" t="str">
            <v>YRG Care</v>
          </cell>
          <cell r="C39" t="str">
            <v>Rajasthan</v>
          </cell>
          <cell r="D39" t="str">
            <v>POSITIVE WOMEN NETWORK OF RAJASTHAN SOCIETY</v>
          </cell>
          <cell r="E39" t="str">
            <v>JAIPUR</v>
          </cell>
          <cell r="H39">
            <v>244</v>
          </cell>
          <cell r="I39">
            <v>210</v>
          </cell>
          <cell r="K39">
            <v>11</v>
          </cell>
          <cell r="L39">
            <v>3</v>
          </cell>
          <cell r="N39">
            <v>225</v>
          </cell>
          <cell r="O39">
            <v>225</v>
          </cell>
          <cell r="Q39">
            <v>221</v>
          </cell>
          <cell r="R39">
            <v>168</v>
          </cell>
          <cell r="T39">
            <v>1055</v>
          </cell>
          <cell r="U39">
            <v>749</v>
          </cell>
          <cell r="W39">
            <v>308</v>
          </cell>
          <cell r="Y39">
            <v>293</v>
          </cell>
          <cell r="AA39">
            <v>17</v>
          </cell>
          <cell r="AB39">
            <v>17</v>
          </cell>
          <cell r="AD39">
            <v>31</v>
          </cell>
          <cell r="AE39">
            <v>11</v>
          </cell>
          <cell r="AJ39">
            <v>185</v>
          </cell>
          <cell r="AK39">
            <v>109</v>
          </cell>
          <cell r="AM39">
            <v>0</v>
          </cell>
          <cell r="AN39">
            <v>0</v>
          </cell>
          <cell r="AP39">
            <v>1</v>
          </cell>
          <cell r="AQ39">
            <v>6</v>
          </cell>
          <cell r="AS39">
            <v>36</v>
          </cell>
          <cell r="AT39">
            <v>12</v>
          </cell>
          <cell r="AV39">
            <v>0</v>
          </cell>
          <cell r="AW39">
            <v>0</v>
          </cell>
          <cell r="AY39">
            <v>22</v>
          </cell>
          <cell r="AZ39">
            <v>6</v>
          </cell>
          <cell r="BB39">
            <v>14</v>
          </cell>
          <cell r="BC39">
            <v>0</v>
          </cell>
          <cell r="BE39">
            <v>13</v>
          </cell>
          <cell r="BF39">
            <v>5</v>
          </cell>
          <cell r="BH39">
            <v>8</v>
          </cell>
          <cell r="BI39">
            <v>8</v>
          </cell>
          <cell r="BK39">
            <v>11</v>
          </cell>
          <cell r="BL39">
            <v>10</v>
          </cell>
          <cell r="BN39">
            <v>10</v>
          </cell>
          <cell r="BO39">
            <v>7</v>
          </cell>
          <cell r="BQ39">
            <v>12</v>
          </cell>
          <cell r="BR39">
            <v>13</v>
          </cell>
          <cell r="BT39">
            <v>0</v>
          </cell>
          <cell r="BU39">
            <v>0</v>
          </cell>
          <cell r="BW39">
            <v>0</v>
          </cell>
          <cell r="BX39">
            <v>0</v>
          </cell>
          <cell r="BZ39">
            <v>210</v>
          </cell>
          <cell r="CA39">
            <v>210</v>
          </cell>
          <cell r="CC39">
            <v>0</v>
          </cell>
          <cell r="CD39">
            <v>0</v>
          </cell>
          <cell r="CF39">
            <v>0</v>
          </cell>
          <cell r="CG39">
            <v>0</v>
          </cell>
        </row>
        <row r="40">
          <cell r="A40">
            <v>34</v>
          </cell>
          <cell r="B40" t="str">
            <v>YRG Care</v>
          </cell>
          <cell r="C40" t="str">
            <v>Rajasthan</v>
          </cell>
          <cell r="D40" t="str">
            <v>JODHPUR NETWORK FOR PEOPLE LIVING WITH HIV/AIDS SANSTHAN</v>
          </cell>
          <cell r="E40" t="str">
            <v>JODHPUR</v>
          </cell>
          <cell r="H40">
            <v>91</v>
          </cell>
          <cell r="I40">
            <v>48</v>
          </cell>
          <cell r="K40">
            <v>0</v>
          </cell>
          <cell r="L40">
            <v>0</v>
          </cell>
          <cell r="N40">
            <v>83</v>
          </cell>
          <cell r="O40">
            <v>83</v>
          </cell>
          <cell r="Q40">
            <v>88</v>
          </cell>
          <cell r="R40">
            <v>82</v>
          </cell>
          <cell r="T40">
            <v>934</v>
          </cell>
          <cell r="U40">
            <v>627</v>
          </cell>
          <cell r="W40">
            <v>327</v>
          </cell>
          <cell r="Y40">
            <v>260</v>
          </cell>
          <cell r="AA40">
            <v>0</v>
          </cell>
          <cell r="AB40">
            <v>0</v>
          </cell>
          <cell r="AD40">
            <v>0</v>
          </cell>
          <cell r="AE40">
            <v>0</v>
          </cell>
          <cell r="AJ40">
            <v>255</v>
          </cell>
          <cell r="AK40">
            <v>246</v>
          </cell>
          <cell r="AM40">
            <v>2</v>
          </cell>
          <cell r="AN40">
            <v>3</v>
          </cell>
          <cell r="AP40">
            <v>2</v>
          </cell>
          <cell r="AQ40">
            <v>151</v>
          </cell>
          <cell r="AS40">
            <v>0</v>
          </cell>
          <cell r="AT40">
            <v>0</v>
          </cell>
          <cell r="AV40">
            <v>0</v>
          </cell>
          <cell r="AW40">
            <v>0</v>
          </cell>
          <cell r="AY40">
            <v>0</v>
          </cell>
          <cell r="AZ40">
            <v>0</v>
          </cell>
          <cell r="BB40">
            <v>1</v>
          </cell>
          <cell r="BC40">
            <v>0</v>
          </cell>
          <cell r="BE40">
            <v>0</v>
          </cell>
          <cell r="BF40">
            <v>0</v>
          </cell>
          <cell r="BH40">
            <v>0</v>
          </cell>
          <cell r="BI40">
            <v>0</v>
          </cell>
          <cell r="BK40">
            <v>0</v>
          </cell>
          <cell r="BL40">
            <v>0</v>
          </cell>
          <cell r="BN40">
            <v>0</v>
          </cell>
          <cell r="BO40">
            <v>0</v>
          </cell>
          <cell r="BQ40">
            <v>0</v>
          </cell>
          <cell r="BR40">
            <v>0</v>
          </cell>
          <cell r="BT40">
            <v>0</v>
          </cell>
          <cell r="BU40">
            <v>0</v>
          </cell>
          <cell r="BW40">
            <v>0</v>
          </cell>
          <cell r="BX40">
            <v>0</v>
          </cell>
          <cell r="BZ40">
            <v>48</v>
          </cell>
          <cell r="CA40">
            <v>48</v>
          </cell>
          <cell r="CC40">
            <v>0</v>
          </cell>
          <cell r="CD40">
            <v>0</v>
          </cell>
          <cell r="CF40">
            <v>0</v>
          </cell>
          <cell r="CG40">
            <v>0</v>
          </cell>
        </row>
        <row r="41">
          <cell r="A41">
            <v>35</v>
          </cell>
          <cell r="B41" t="str">
            <v>YRG Care</v>
          </cell>
          <cell r="C41" t="str">
            <v>Rajasthan</v>
          </cell>
          <cell r="D41" t="str">
            <v>HADOTI NETWORK FOR PEOPLE LIVING WITH HIV/AIDS SAMITI</v>
          </cell>
          <cell r="E41" t="str">
            <v xml:space="preserve">KOTA </v>
          </cell>
          <cell r="H41">
            <v>57</v>
          </cell>
          <cell r="I41">
            <v>65</v>
          </cell>
          <cell r="K41">
            <v>0</v>
          </cell>
          <cell r="L41">
            <v>0</v>
          </cell>
          <cell r="N41">
            <v>73</v>
          </cell>
          <cell r="O41">
            <v>73</v>
          </cell>
          <cell r="Q41">
            <v>86</v>
          </cell>
          <cell r="R41">
            <v>67</v>
          </cell>
          <cell r="T41">
            <v>489</v>
          </cell>
          <cell r="U41">
            <v>314</v>
          </cell>
          <cell r="W41">
            <v>234</v>
          </cell>
          <cell r="Y41">
            <v>127</v>
          </cell>
          <cell r="AA41">
            <v>67</v>
          </cell>
          <cell r="AB41">
            <v>67</v>
          </cell>
          <cell r="AD41">
            <v>66</v>
          </cell>
          <cell r="AE41">
            <v>0</v>
          </cell>
          <cell r="AJ41">
            <v>223</v>
          </cell>
          <cell r="AK41">
            <v>200</v>
          </cell>
          <cell r="AM41">
            <v>6</v>
          </cell>
          <cell r="AN41">
            <v>6</v>
          </cell>
          <cell r="AP41">
            <v>101</v>
          </cell>
          <cell r="AQ41">
            <v>2</v>
          </cell>
          <cell r="AS41">
            <v>24</v>
          </cell>
          <cell r="AT41">
            <v>24</v>
          </cell>
          <cell r="AV41">
            <v>0</v>
          </cell>
          <cell r="AW41">
            <v>0</v>
          </cell>
          <cell r="AY41">
            <v>16</v>
          </cell>
          <cell r="AZ41">
            <v>16</v>
          </cell>
          <cell r="BB41">
            <v>287</v>
          </cell>
          <cell r="BC41">
            <v>83</v>
          </cell>
          <cell r="BE41">
            <v>0</v>
          </cell>
          <cell r="BF41">
            <v>0</v>
          </cell>
          <cell r="BH41">
            <v>1</v>
          </cell>
          <cell r="BI41">
            <v>1</v>
          </cell>
          <cell r="BK41">
            <v>0</v>
          </cell>
          <cell r="BL41">
            <v>0</v>
          </cell>
          <cell r="BN41">
            <v>0</v>
          </cell>
          <cell r="BO41">
            <v>0</v>
          </cell>
          <cell r="BQ41">
            <v>0</v>
          </cell>
          <cell r="BR41">
            <v>0</v>
          </cell>
          <cell r="BT41">
            <v>0</v>
          </cell>
          <cell r="BU41">
            <v>0</v>
          </cell>
          <cell r="BW41">
            <v>0</v>
          </cell>
          <cell r="BX41">
            <v>0</v>
          </cell>
          <cell r="BZ41">
            <v>65</v>
          </cell>
          <cell r="CA41">
            <v>65</v>
          </cell>
          <cell r="CC41">
            <v>9</v>
          </cell>
          <cell r="CD41">
            <v>8</v>
          </cell>
          <cell r="CF41">
            <v>0</v>
          </cell>
          <cell r="CG41">
            <v>0</v>
          </cell>
        </row>
        <row r="42">
          <cell r="A42">
            <v>36</v>
          </cell>
          <cell r="B42" t="str">
            <v>YRG Care</v>
          </cell>
          <cell r="C42" t="str">
            <v>Rajasthan</v>
          </cell>
          <cell r="D42" t="str">
            <v>RAJSMAND NETWORK FOR PEOPLE LIVING WITH HIV SANSTHAN, UDAIPUR</v>
          </cell>
          <cell r="E42" t="str">
            <v>UDAIPUR</v>
          </cell>
          <cell r="H42">
            <v>87</v>
          </cell>
          <cell r="I42">
            <v>92</v>
          </cell>
          <cell r="K42">
            <v>0</v>
          </cell>
          <cell r="L42">
            <v>0</v>
          </cell>
          <cell r="N42">
            <v>85</v>
          </cell>
          <cell r="O42">
            <v>61</v>
          </cell>
          <cell r="Q42">
            <v>92</v>
          </cell>
          <cell r="R42">
            <v>92</v>
          </cell>
          <cell r="T42">
            <v>104</v>
          </cell>
          <cell r="U42">
            <v>56</v>
          </cell>
          <cell r="W42">
            <v>294</v>
          </cell>
          <cell r="Y42">
            <v>223</v>
          </cell>
          <cell r="AA42">
            <v>0</v>
          </cell>
          <cell r="AB42">
            <v>0</v>
          </cell>
          <cell r="AD42">
            <v>0</v>
          </cell>
          <cell r="AE42">
            <v>0</v>
          </cell>
          <cell r="AJ42">
            <v>150</v>
          </cell>
          <cell r="AK42">
            <v>199</v>
          </cell>
          <cell r="AM42">
            <v>0</v>
          </cell>
          <cell r="AN42">
            <v>0</v>
          </cell>
          <cell r="AP42">
            <v>178</v>
          </cell>
          <cell r="AQ42">
            <v>87</v>
          </cell>
          <cell r="AS42">
            <v>18</v>
          </cell>
          <cell r="AT42">
            <v>0</v>
          </cell>
          <cell r="AV42">
            <v>0</v>
          </cell>
          <cell r="AW42">
            <v>0</v>
          </cell>
          <cell r="AY42">
            <v>18</v>
          </cell>
          <cell r="AZ42">
            <v>0</v>
          </cell>
          <cell r="BB42">
            <v>0</v>
          </cell>
          <cell r="BC42">
            <v>0</v>
          </cell>
          <cell r="BE42">
            <v>0</v>
          </cell>
          <cell r="BF42">
            <v>0</v>
          </cell>
          <cell r="BH42">
            <v>0</v>
          </cell>
          <cell r="BI42">
            <v>0</v>
          </cell>
          <cell r="BK42">
            <v>0</v>
          </cell>
          <cell r="BL42">
            <v>0</v>
          </cell>
          <cell r="BN42">
            <v>0</v>
          </cell>
          <cell r="BO42">
            <v>0</v>
          </cell>
          <cell r="BQ42">
            <v>0</v>
          </cell>
          <cell r="BR42">
            <v>0</v>
          </cell>
          <cell r="BT42">
            <v>0</v>
          </cell>
          <cell r="BU42">
            <v>0</v>
          </cell>
          <cell r="BW42">
            <v>0</v>
          </cell>
          <cell r="BX42">
            <v>0</v>
          </cell>
          <cell r="BZ42">
            <v>92</v>
          </cell>
          <cell r="CA42">
            <v>93</v>
          </cell>
          <cell r="CC42">
            <v>0</v>
          </cell>
          <cell r="CD42">
            <v>31</v>
          </cell>
          <cell r="CF42">
            <v>0</v>
          </cell>
          <cell r="CG42">
            <v>0</v>
          </cell>
        </row>
        <row r="43">
          <cell r="A43">
            <v>37</v>
          </cell>
          <cell r="B43" t="str">
            <v>YRG Care</v>
          </cell>
          <cell r="C43" t="str">
            <v>Rajasthan</v>
          </cell>
          <cell r="D43" t="str">
            <v>JEEVAN PRAKASH NETWORK PEOPLE LIVING WITH POSITIVE SANSTHAN</v>
          </cell>
          <cell r="E43" t="str">
            <v>AJMER</v>
          </cell>
          <cell r="H43">
            <v>69</v>
          </cell>
          <cell r="I43">
            <v>71</v>
          </cell>
          <cell r="K43">
            <v>0</v>
          </cell>
          <cell r="L43">
            <v>0</v>
          </cell>
          <cell r="N43">
            <v>76</v>
          </cell>
          <cell r="O43">
            <v>76</v>
          </cell>
          <cell r="Q43">
            <v>66</v>
          </cell>
          <cell r="R43">
            <v>53</v>
          </cell>
          <cell r="T43">
            <v>931</v>
          </cell>
          <cell r="U43">
            <v>719</v>
          </cell>
          <cell r="W43">
            <v>336</v>
          </cell>
          <cell r="Y43">
            <v>210</v>
          </cell>
          <cell r="AA43">
            <v>0</v>
          </cell>
          <cell r="AB43">
            <v>0</v>
          </cell>
          <cell r="AD43">
            <v>0</v>
          </cell>
          <cell r="AE43">
            <v>0</v>
          </cell>
          <cell r="AJ43">
            <v>229</v>
          </cell>
          <cell r="AK43">
            <v>229</v>
          </cell>
          <cell r="AM43">
            <v>0</v>
          </cell>
          <cell r="AN43">
            <v>0</v>
          </cell>
          <cell r="AP43">
            <v>38</v>
          </cell>
          <cell r="AQ43">
            <v>38</v>
          </cell>
          <cell r="AS43">
            <v>8</v>
          </cell>
          <cell r="AT43">
            <v>0</v>
          </cell>
          <cell r="AV43">
            <v>0</v>
          </cell>
          <cell r="AW43">
            <v>0</v>
          </cell>
          <cell r="AY43">
            <v>23</v>
          </cell>
          <cell r="AZ43">
            <v>0</v>
          </cell>
          <cell r="BB43">
            <v>10</v>
          </cell>
          <cell r="BC43">
            <v>10</v>
          </cell>
          <cell r="BE43">
            <v>0</v>
          </cell>
          <cell r="BF43">
            <v>0</v>
          </cell>
          <cell r="BH43">
            <v>0</v>
          </cell>
          <cell r="BI43">
            <v>0</v>
          </cell>
          <cell r="BK43">
            <v>0</v>
          </cell>
          <cell r="BL43">
            <v>0</v>
          </cell>
          <cell r="BN43">
            <v>0</v>
          </cell>
          <cell r="BO43">
            <v>0</v>
          </cell>
          <cell r="BQ43">
            <v>0</v>
          </cell>
          <cell r="BR43">
            <v>0</v>
          </cell>
          <cell r="BT43">
            <v>0</v>
          </cell>
          <cell r="BU43">
            <v>0</v>
          </cell>
          <cell r="BW43">
            <v>0</v>
          </cell>
          <cell r="BX43">
            <v>0</v>
          </cell>
          <cell r="BZ43">
            <v>71</v>
          </cell>
          <cell r="CA43">
            <v>71</v>
          </cell>
          <cell r="CC43">
            <v>13</v>
          </cell>
          <cell r="CD43">
            <v>13</v>
          </cell>
          <cell r="CF43">
            <v>0</v>
          </cell>
          <cell r="CG43">
            <v>0</v>
          </cell>
        </row>
        <row r="44">
          <cell r="A44">
            <v>38</v>
          </cell>
          <cell r="B44" t="str">
            <v>YRG Care</v>
          </cell>
          <cell r="C44" t="str">
            <v>Rajasthan</v>
          </cell>
          <cell r="D44" t="str">
            <v>SIKAR NETWORK FOR PLHIV SANSTHAN</v>
          </cell>
          <cell r="E44" t="str">
            <v>SIKAR</v>
          </cell>
          <cell r="H44">
            <v>62</v>
          </cell>
          <cell r="I44">
            <v>47</v>
          </cell>
          <cell r="K44">
            <v>2</v>
          </cell>
          <cell r="L44">
            <v>1</v>
          </cell>
          <cell r="N44">
            <v>48</v>
          </cell>
          <cell r="O44">
            <v>48</v>
          </cell>
          <cell r="Q44">
            <v>67</v>
          </cell>
          <cell r="R44">
            <v>63</v>
          </cell>
          <cell r="T44">
            <v>429</v>
          </cell>
          <cell r="U44">
            <v>386</v>
          </cell>
          <cell r="W44">
            <v>33</v>
          </cell>
          <cell r="Y44">
            <v>39</v>
          </cell>
          <cell r="AA44">
            <v>63</v>
          </cell>
          <cell r="AB44">
            <v>63</v>
          </cell>
          <cell r="AD44">
            <v>104</v>
          </cell>
          <cell r="AE44">
            <v>18</v>
          </cell>
          <cell r="AJ44">
            <v>96</v>
          </cell>
          <cell r="AK44">
            <v>119</v>
          </cell>
          <cell r="AM44">
            <v>0</v>
          </cell>
          <cell r="AN44">
            <v>0</v>
          </cell>
          <cell r="AP44">
            <v>150</v>
          </cell>
          <cell r="AQ44">
            <v>176</v>
          </cell>
          <cell r="AS44">
            <v>4</v>
          </cell>
          <cell r="AT44">
            <v>2</v>
          </cell>
          <cell r="AV44">
            <v>0</v>
          </cell>
          <cell r="AW44">
            <v>0</v>
          </cell>
          <cell r="AY44">
            <v>3</v>
          </cell>
          <cell r="AZ44">
            <v>5</v>
          </cell>
          <cell r="BB44">
            <v>0</v>
          </cell>
          <cell r="BC44">
            <v>37</v>
          </cell>
          <cell r="BE44">
            <v>1</v>
          </cell>
          <cell r="BF44">
            <v>0</v>
          </cell>
          <cell r="BH44">
            <v>6</v>
          </cell>
          <cell r="BI44">
            <v>5</v>
          </cell>
          <cell r="BK44">
            <v>3</v>
          </cell>
          <cell r="BL44">
            <v>3</v>
          </cell>
          <cell r="BN44">
            <v>2</v>
          </cell>
          <cell r="BO44">
            <v>2</v>
          </cell>
          <cell r="BQ44">
            <v>1</v>
          </cell>
          <cell r="BR44">
            <v>0</v>
          </cell>
          <cell r="BT44">
            <v>3</v>
          </cell>
          <cell r="BU44">
            <v>3</v>
          </cell>
          <cell r="BW44">
            <v>0</v>
          </cell>
          <cell r="BX44">
            <v>0</v>
          </cell>
          <cell r="BZ44">
            <v>47</v>
          </cell>
          <cell r="CA44">
            <v>47</v>
          </cell>
          <cell r="CC44">
            <v>32</v>
          </cell>
          <cell r="CD44">
            <v>32</v>
          </cell>
          <cell r="CF44">
            <v>0</v>
          </cell>
          <cell r="CG44">
            <v>0</v>
          </cell>
        </row>
        <row r="45">
          <cell r="A45">
            <v>39</v>
          </cell>
          <cell r="B45" t="str">
            <v>YRG Care</v>
          </cell>
          <cell r="C45" t="str">
            <v>Rajasthan</v>
          </cell>
          <cell r="D45" t="str">
            <v>BHILWARA NETWORK OF PEOPLE LIVING HIV/AIDS SANSTHAN</v>
          </cell>
          <cell r="E45" t="str">
            <v>BANSWARA</v>
          </cell>
          <cell r="H45">
            <v>31</v>
          </cell>
          <cell r="I45">
            <v>21</v>
          </cell>
          <cell r="K45">
            <v>0</v>
          </cell>
          <cell r="L45">
            <v>0</v>
          </cell>
          <cell r="N45">
            <v>31</v>
          </cell>
          <cell r="O45">
            <v>31</v>
          </cell>
          <cell r="Q45">
            <v>32</v>
          </cell>
          <cell r="R45">
            <v>31</v>
          </cell>
          <cell r="T45">
            <v>415</v>
          </cell>
          <cell r="U45">
            <v>333</v>
          </cell>
          <cell r="W45">
            <v>61</v>
          </cell>
          <cell r="Y45">
            <v>61</v>
          </cell>
          <cell r="AA45">
            <v>0</v>
          </cell>
          <cell r="AB45">
            <v>0</v>
          </cell>
          <cell r="AD45">
            <v>0</v>
          </cell>
          <cell r="AE45">
            <v>0</v>
          </cell>
          <cell r="AJ45">
            <v>79</v>
          </cell>
          <cell r="AK45">
            <v>79</v>
          </cell>
          <cell r="AM45">
            <v>1</v>
          </cell>
          <cell r="AN45">
            <v>1</v>
          </cell>
          <cell r="AP45">
            <v>57</v>
          </cell>
          <cell r="AQ45">
            <v>69</v>
          </cell>
          <cell r="AS45">
            <v>0</v>
          </cell>
          <cell r="AT45">
            <v>0</v>
          </cell>
          <cell r="AV45">
            <v>0</v>
          </cell>
          <cell r="AW45">
            <v>0</v>
          </cell>
          <cell r="AY45">
            <v>3</v>
          </cell>
          <cell r="AZ45">
            <v>0</v>
          </cell>
          <cell r="BB45">
            <v>0</v>
          </cell>
          <cell r="BC45">
            <v>25</v>
          </cell>
          <cell r="BE45">
            <v>1</v>
          </cell>
          <cell r="BF45">
            <v>0</v>
          </cell>
          <cell r="BH45">
            <v>9</v>
          </cell>
          <cell r="BI45">
            <v>9</v>
          </cell>
          <cell r="BK45">
            <v>0</v>
          </cell>
          <cell r="BL45">
            <v>2</v>
          </cell>
          <cell r="BN45">
            <v>0</v>
          </cell>
          <cell r="BO45">
            <v>0</v>
          </cell>
          <cell r="BQ45">
            <v>0</v>
          </cell>
          <cell r="BR45">
            <v>0</v>
          </cell>
          <cell r="BT45">
            <v>0</v>
          </cell>
          <cell r="BU45">
            <v>0</v>
          </cell>
          <cell r="BW45">
            <v>0</v>
          </cell>
          <cell r="BX45">
            <v>0</v>
          </cell>
          <cell r="BZ45">
            <v>21</v>
          </cell>
          <cell r="CA45">
            <v>21</v>
          </cell>
          <cell r="CC45">
            <v>39</v>
          </cell>
          <cell r="CD45">
            <v>39</v>
          </cell>
          <cell r="CF45">
            <v>0</v>
          </cell>
          <cell r="CG45">
            <v>0</v>
          </cell>
        </row>
        <row r="46">
          <cell r="A46">
            <v>40</v>
          </cell>
          <cell r="B46" t="str">
            <v>YRG Care</v>
          </cell>
          <cell r="C46" t="str">
            <v>Rajasthan</v>
          </cell>
          <cell r="D46" t="str">
            <v>STATE COALITION OF PLHIV SANSTHAN</v>
          </cell>
          <cell r="E46" t="str">
            <v>BHARATPUR</v>
          </cell>
          <cell r="H46">
            <v>48</v>
          </cell>
          <cell r="I46">
            <v>48</v>
          </cell>
          <cell r="K46">
            <v>0</v>
          </cell>
          <cell r="L46">
            <v>0</v>
          </cell>
          <cell r="N46">
            <v>48</v>
          </cell>
          <cell r="O46">
            <v>48</v>
          </cell>
          <cell r="Q46">
            <v>37</v>
          </cell>
          <cell r="R46">
            <v>36</v>
          </cell>
          <cell r="T46">
            <v>372</v>
          </cell>
          <cell r="U46">
            <v>347</v>
          </cell>
          <cell r="W46">
            <v>60</v>
          </cell>
          <cell r="Y46">
            <v>37</v>
          </cell>
          <cell r="AA46">
            <v>0</v>
          </cell>
          <cell r="AB46">
            <v>0</v>
          </cell>
          <cell r="AD46">
            <v>0</v>
          </cell>
          <cell r="AE46">
            <v>0</v>
          </cell>
          <cell r="AJ46">
            <v>218</v>
          </cell>
          <cell r="AK46">
            <v>218</v>
          </cell>
          <cell r="AM46">
            <v>0</v>
          </cell>
          <cell r="AN46">
            <v>0</v>
          </cell>
          <cell r="AP46">
            <v>29</v>
          </cell>
          <cell r="AQ46">
            <v>29</v>
          </cell>
          <cell r="AS46">
            <v>0</v>
          </cell>
          <cell r="AT46">
            <v>0</v>
          </cell>
          <cell r="AV46">
            <v>0</v>
          </cell>
          <cell r="AW46">
            <v>0</v>
          </cell>
          <cell r="AY46">
            <v>8</v>
          </cell>
          <cell r="AZ46">
            <v>3</v>
          </cell>
          <cell r="BB46">
            <v>30</v>
          </cell>
          <cell r="BC46">
            <v>2</v>
          </cell>
          <cell r="BE46">
            <v>0</v>
          </cell>
          <cell r="BF46">
            <v>0</v>
          </cell>
          <cell r="BH46">
            <v>0</v>
          </cell>
          <cell r="BI46">
            <v>0</v>
          </cell>
          <cell r="BK46">
            <v>1</v>
          </cell>
          <cell r="BL46">
            <v>1</v>
          </cell>
          <cell r="BN46">
            <v>0</v>
          </cell>
          <cell r="BO46">
            <v>0</v>
          </cell>
          <cell r="BQ46">
            <v>0</v>
          </cell>
          <cell r="BR46">
            <v>0</v>
          </cell>
          <cell r="BT46">
            <v>0</v>
          </cell>
          <cell r="BU46">
            <v>0</v>
          </cell>
          <cell r="BW46">
            <v>0</v>
          </cell>
          <cell r="BX46">
            <v>0</v>
          </cell>
          <cell r="BZ46">
            <v>48</v>
          </cell>
          <cell r="CA46">
            <v>48</v>
          </cell>
          <cell r="CC46">
            <v>0</v>
          </cell>
          <cell r="CD46">
            <v>0</v>
          </cell>
          <cell r="CF46">
            <v>0</v>
          </cell>
          <cell r="CG46">
            <v>0</v>
          </cell>
        </row>
        <row r="47">
          <cell r="A47">
            <v>41</v>
          </cell>
          <cell r="B47" t="str">
            <v>YRG Care</v>
          </cell>
          <cell r="C47" t="str">
            <v>Rajasthan</v>
          </cell>
          <cell r="D47" t="str">
            <v>BARMER NETWORK FOR PEOPLE LIVING WITH HIV/AIDS SANSTHAN</v>
          </cell>
          <cell r="E47" t="str">
            <v>BARMER</v>
          </cell>
          <cell r="H47">
            <v>26</v>
          </cell>
          <cell r="I47">
            <v>23</v>
          </cell>
          <cell r="K47">
            <v>7</v>
          </cell>
          <cell r="L47">
            <v>3</v>
          </cell>
          <cell r="N47">
            <v>23</v>
          </cell>
          <cell r="O47">
            <v>23</v>
          </cell>
          <cell r="Q47">
            <v>20</v>
          </cell>
          <cell r="R47">
            <v>20</v>
          </cell>
          <cell r="T47">
            <v>125</v>
          </cell>
          <cell r="U47">
            <v>108</v>
          </cell>
          <cell r="W47">
            <v>85</v>
          </cell>
          <cell r="Y47">
            <v>74</v>
          </cell>
          <cell r="AA47">
            <v>0</v>
          </cell>
          <cell r="AB47">
            <v>0</v>
          </cell>
          <cell r="AD47">
            <v>0</v>
          </cell>
          <cell r="AE47">
            <v>0</v>
          </cell>
          <cell r="AJ47">
            <v>10</v>
          </cell>
          <cell r="AK47">
            <v>4</v>
          </cell>
          <cell r="AM47">
            <v>0</v>
          </cell>
          <cell r="AN47">
            <v>0</v>
          </cell>
          <cell r="AP47">
            <v>8</v>
          </cell>
          <cell r="AQ47">
            <v>8</v>
          </cell>
          <cell r="AS47">
            <v>2</v>
          </cell>
          <cell r="AT47">
            <v>0</v>
          </cell>
          <cell r="AV47">
            <v>0</v>
          </cell>
          <cell r="AW47">
            <v>0</v>
          </cell>
          <cell r="AY47">
            <v>1</v>
          </cell>
          <cell r="AZ47">
            <v>0</v>
          </cell>
          <cell r="BB47">
            <v>0</v>
          </cell>
          <cell r="BC47">
            <v>1</v>
          </cell>
          <cell r="BE47">
            <v>0</v>
          </cell>
          <cell r="BF47">
            <v>0</v>
          </cell>
          <cell r="BH47">
            <v>1</v>
          </cell>
          <cell r="BI47">
            <v>1</v>
          </cell>
          <cell r="BK47">
            <v>0</v>
          </cell>
          <cell r="BL47">
            <v>0</v>
          </cell>
          <cell r="BN47">
            <v>0</v>
          </cell>
          <cell r="BO47">
            <v>0</v>
          </cell>
          <cell r="BQ47">
            <v>0</v>
          </cell>
          <cell r="BR47">
            <v>0</v>
          </cell>
          <cell r="BT47">
            <v>0</v>
          </cell>
          <cell r="BU47">
            <v>0</v>
          </cell>
          <cell r="BW47">
            <v>0</v>
          </cell>
          <cell r="BX47">
            <v>0</v>
          </cell>
          <cell r="BZ47">
            <v>23</v>
          </cell>
          <cell r="CA47">
            <v>26</v>
          </cell>
          <cell r="CC47">
            <v>1</v>
          </cell>
          <cell r="CD47">
            <v>1</v>
          </cell>
          <cell r="CF47">
            <v>0</v>
          </cell>
          <cell r="CG47">
            <v>0</v>
          </cell>
        </row>
        <row r="48">
          <cell r="A48">
            <v>42</v>
          </cell>
          <cell r="B48" t="str">
            <v>YRG Care</v>
          </cell>
          <cell r="C48" t="str">
            <v>Rajasthan</v>
          </cell>
          <cell r="D48" t="str">
            <v>SIKAR NETWORK FOR PLHIV SANSTHAN</v>
          </cell>
          <cell r="E48" t="str">
            <v>JHUNJHUNU</v>
          </cell>
          <cell r="H48">
            <v>30</v>
          </cell>
          <cell r="I48">
            <v>30</v>
          </cell>
          <cell r="K48">
            <v>2</v>
          </cell>
          <cell r="L48">
            <v>0</v>
          </cell>
          <cell r="N48">
            <v>30</v>
          </cell>
          <cell r="O48">
            <v>30</v>
          </cell>
          <cell r="Q48">
            <v>31</v>
          </cell>
          <cell r="R48">
            <v>31</v>
          </cell>
          <cell r="T48">
            <v>180</v>
          </cell>
          <cell r="U48">
            <v>82</v>
          </cell>
          <cell r="W48">
            <v>46</v>
          </cell>
          <cell r="Y48">
            <v>38</v>
          </cell>
          <cell r="AA48">
            <v>24</v>
          </cell>
          <cell r="AB48">
            <v>24</v>
          </cell>
          <cell r="AD48">
            <v>14</v>
          </cell>
          <cell r="AE48">
            <v>0</v>
          </cell>
          <cell r="AJ48">
            <v>0</v>
          </cell>
          <cell r="AK48">
            <v>0</v>
          </cell>
          <cell r="AM48">
            <v>0</v>
          </cell>
          <cell r="AN48">
            <v>0</v>
          </cell>
          <cell r="AP48">
            <v>17</v>
          </cell>
          <cell r="AQ48">
            <v>0</v>
          </cell>
          <cell r="AS48">
            <v>7</v>
          </cell>
          <cell r="AT48">
            <v>1</v>
          </cell>
          <cell r="AV48">
            <v>0</v>
          </cell>
          <cell r="AW48">
            <v>0</v>
          </cell>
          <cell r="AY48">
            <v>8</v>
          </cell>
          <cell r="AZ48">
            <v>3</v>
          </cell>
          <cell r="BB48">
            <v>0</v>
          </cell>
          <cell r="BC48">
            <v>0</v>
          </cell>
          <cell r="BE48">
            <v>0</v>
          </cell>
          <cell r="BF48">
            <v>0</v>
          </cell>
          <cell r="BH48">
            <v>1</v>
          </cell>
          <cell r="BI48">
            <v>1</v>
          </cell>
          <cell r="BK48">
            <v>5</v>
          </cell>
          <cell r="BL48">
            <v>1</v>
          </cell>
          <cell r="BN48">
            <v>8</v>
          </cell>
          <cell r="BO48">
            <v>1</v>
          </cell>
          <cell r="BQ48">
            <v>10</v>
          </cell>
          <cell r="BR48">
            <v>6</v>
          </cell>
          <cell r="BT48">
            <v>2</v>
          </cell>
          <cell r="BU48">
            <v>1</v>
          </cell>
          <cell r="BW48">
            <v>0</v>
          </cell>
          <cell r="BX48">
            <v>0</v>
          </cell>
          <cell r="BZ48">
            <v>30</v>
          </cell>
          <cell r="CA48">
            <v>30</v>
          </cell>
          <cell r="CC48">
            <v>0</v>
          </cell>
          <cell r="CD48">
            <v>0</v>
          </cell>
          <cell r="CF48">
            <v>0</v>
          </cell>
          <cell r="CG48">
            <v>0</v>
          </cell>
        </row>
        <row r="49">
          <cell r="A49">
            <v>43</v>
          </cell>
          <cell r="B49" t="str">
            <v>YRG Care</v>
          </cell>
          <cell r="C49" t="str">
            <v>Rajasthan</v>
          </cell>
          <cell r="D49" t="str">
            <v>BIKANER NETWORK FOR PEOPLE LIVING WITH HIV/AIDS SANSTHAN</v>
          </cell>
          <cell r="E49" t="str">
            <v>NAGAUR</v>
          </cell>
          <cell r="H49">
            <v>23</v>
          </cell>
          <cell r="I49">
            <v>23</v>
          </cell>
          <cell r="K49">
            <v>0</v>
          </cell>
          <cell r="L49">
            <v>0</v>
          </cell>
          <cell r="N49">
            <v>21</v>
          </cell>
          <cell r="O49">
            <v>21</v>
          </cell>
          <cell r="Q49">
            <v>22</v>
          </cell>
          <cell r="R49">
            <v>21</v>
          </cell>
          <cell r="T49">
            <v>107</v>
          </cell>
          <cell r="U49">
            <v>88</v>
          </cell>
          <cell r="W49">
            <v>13</v>
          </cell>
          <cell r="Y49">
            <v>9</v>
          </cell>
          <cell r="AA49">
            <v>20</v>
          </cell>
          <cell r="AB49">
            <v>20</v>
          </cell>
          <cell r="AD49">
            <v>27</v>
          </cell>
          <cell r="AE49">
            <v>0</v>
          </cell>
          <cell r="AJ49">
            <v>0</v>
          </cell>
          <cell r="AK49">
            <v>35</v>
          </cell>
          <cell r="AM49">
            <v>0</v>
          </cell>
          <cell r="AN49">
            <v>0</v>
          </cell>
          <cell r="AP49">
            <v>10</v>
          </cell>
          <cell r="AQ49">
            <v>0</v>
          </cell>
          <cell r="AS49">
            <v>1</v>
          </cell>
          <cell r="AT49">
            <v>0</v>
          </cell>
          <cell r="AV49">
            <v>0</v>
          </cell>
          <cell r="AW49">
            <v>0</v>
          </cell>
          <cell r="AY49">
            <v>1</v>
          </cell>
          <cell r="AZ49">
            <v>0</v>
          </cell>
          <cell r="BB49">
            <v>0</v>
          </cell>
          <cell r="BC49">
            <v>0</v>
          </cell>
          <cell r="BE49">
            <v>3</v>
          </cell>
          <cell r="BF49">
            <v>0</v>
          </cell>
          <cell r="BH49">
            <v>0</v>
          </cell>
          <cell r="BI49">
            <v>0</v>
          </cell>
          <cell r="BK49">
            <v>0</v>
          </cell>
          <cell r="BL49">
            <v>0</v>
          </cell>
          <cell r="BN49">
            <v>2</v>
          </cell>
          <cell r="BO49">
            <v>2</v>
          </cell>
          <cell r="BQ49">
            <v>0</v>
          </cell>
          <cell r="BR49">
            <v>0</v>
          </cell>
          <cell r="BT49">
            <v>1</v>
          </cell>
          <cell r="BU49">
            <v>1</v>
          </cell>
          <cell r="BW49">
            <v>0</v>
          </cell>
          <cell r="BX49">
            <v>0</v>
          </cell>
          <cell r="BZ49">
            <v>23</v>
          </cell>
          <cell r="CA49">
            <v>23</v>
          </cell>
          <cell r="CC49">
            <v>0</v>
          </cell>
          <cell r="CD49">
            <v>0</v>
          </cell>
          <cell r="CF49">
            <v>0</v>
          </cell>
          <cell r="CG49">
            <v>0</v>
          </cell>
        </row>
        <row r="50">
          <cell r="A50">
            <v>44</v>
          </cell>
          <cell r="B50" t="str">
            <v>YRG Care</v>
          </cell>
          <cell r="C50" t="str">
            <v>Rajasthan</v>
          </cell>
          <cell r="D50" t="str">
            <v>PALI MARWAR NETWORK FOR PEOPLE LIVING WITH HIV/AIDS SANSTHAN</v>
          </cell>
          <cell r="E50" t="str">
            <v>PALI</v>
          </cell>
          <cell r="H50">
            <v>59</v>
          </cell>
          <cell r="I50">
            <v>53</v>
          </cell>
          <cell r="K50">
            <v>0</v>
          </cell>
          <cell r="L50">
            <v>0</v>
          </cell>
          <cell r="N50">
            <v>56</v>
          </cell>
          <cell r="O50">
            <v>56</v>
          </cell>
          <cell r="Q50">
            <v>67</v>
          </cell>
          <cell r="R50">
            <v>64</v>
          </cell>
          <cell r="T50">
            <v>914</v>
          </cell>
          <cell r="U50">
            <v>644</v>
          </cell>
          <cell r="W50">
            <v>265</v>
          </cell>
          <cell r="Y50">
            <v>200</v>
          </cell>
          <cell r="AA50">
            <v>25</v>
          </cell>
          <cell r="AB50">
            <v>25</v>
          </cell>
          <cell r="AD50">
            <v>183</v>
          </cell>
          <cell r="AE50">
            <v>22</v>
          </cell>
          <cell r="AJ50">
            <v>137</v>
          </cell>
          <cell r="AK50">
            <v>161</v>
          </cell>
          <cell r="AM50">
            <v>0</v>
          </cell>
          <cell r="AN50">
            <v>0</v>
          </cell>
          <cell r="AP50">
            <v>0</v>
          </cell>
          <cell r="AQ50">
            <v>19</v>
          </cell>
          <cell r="AS50">
            <v>1</v>
          </cell>
          <cell r="AT50">
            <v>0</v>
          </cell>
          <cell r="AV50">
            <v>0</v>
          </cell>
          <cell r="AW50">
            <v>0</v>
          </cell>
          <cell r="AY50">
            <v>3</v>
          </cell>
          <cell r="AZ50">
            <v>0</v>
          </cell>
          <cell r="BB50">
            <v>0</v>
          </cell>
          <cell r="BC50">
            <v>0</v>
          </cell>
          <cell r="BE50">
            <v>0</v>
          </cell>
          <cell r="BF50">
            <v>0</v>
          </cell>
          <cell r="BH50">
            <v>0</v>
          </cell>
          <cell r="BI50">
            <v>0</v>
          </cell>
          <cell r="BK50">
            <v>0</v>
          </cell>
          <cell r="BL50">
            <v>0</v>
          </cell>
          <cell r="BN50">
            <v>0</v>
          </cell>
          <cell r="BO50">
            <v>0</v>
          </cell>
          <cell r="BQ50">
            <v>0</v>
          </cell>
          <cell r="BR50">
            <v>0</v>
          </cell>
          <cell r="BT50">
            <v>0</v>
          </cell>
          <cell r="BU50">
            <v>2</v>
          </cell>
          <cell r="BW50">
            <v>0</v>
          </cell>
          <cell r="BX50">
            <v>0</v>
          </cell>
          <cell r="BZ50">
            <v>53</v>
          </cell>
          <cell r="CA50">
            <v>53</v>
          </cell>
          <cell r="CC50">
            <v>0</v>
          </cell>
          <cell r="CD50">
            <v>0</v>
          </cell>
          <cell r="CF50">
            <v>0</v>
          </cell>
          <cell r="CG50">
            <v>0</v>
          </cell>
        </row>
        <row r="51">
          <cell r="A51">
            <v>45</v>
          </cell>
          <cell r="B51" t="str">
            <v>YRG Care</v>
          </cell>
          <cell r="C51" t="str">
            <v>Rajasthan</v>
          </cell>
          <cell r="D51" t="str">
            <v>JALORE NETWORK OF PEOPLE LIVING WITH HIV/AIDS SANSTHAN</v>
          </cell>
          <cell r="E51" t="str">
            <v>JALORE</v>
          </cell>
          <cell r="H51">
            <v>27</v>
          </cell>
          <cell r="I51">
            <v>21</v>
          </cell>
          <cell r="K51">
            <v>0</v>
          </cell>
          <cell r="L51">
            <v>0</v>
          </cell>
          <cell r="N51">
            <v>24</v>
          </cell>
          <cell r="O51">
            <v>24</v>
          </cell>
          <cell r="Q51">
            <v>28</v>
          </cell>
          <cell r="R51">
            <v>20</v>
          </cell>
          <cell r="T51">
            <v>238</v>
          </cell>
          <cell r="U51">
            <v>191</v>
          </cell>
          <cell r="W51">
            <v>44</v>
          </cell>
          <cell r="Y51">
            <v>58</v>
          </cell>
          <cell r="AA51">
            <v>0</v>
          </cell>
          <cell r="AB51">
            <v>0</v>
          </cell>
          <cell r="AD51">
            <v>276</v>
          </cell>
          <cell r="AE51">
            <v>0</v>
          </cell>
          <cell r="AJ51">
            <v>244</v>
          </cell>
          <cell r="AK51">
            <v>163</v>
          </cell>
          <cell r="AM51">
            <v>0</v>
          </cell>
          <cell r="AN51">
            <v>0</v>
          </cell>
          <cell r="AP51">
            <v>20</v>
          </cell>
          <cell r="AQ51">
            <v>5</v>
          </cell>
          <cell r="AS51">
            <v>0</v>
          </cell>
          <cell r="AT51">
            <v>0</v>
          </cell>
          <cell r="AV51">
            <v>0</v>
          </cell>
          <cell r="AW51">
            <v>0</v>
          </cell>
          <cell r="AY51">
            <v>0</v>
          </cell>
          <cell r="AZ51">
            <v>0</v>
          </cell>
          <cell r="BB51">
            <v>0</v>
          </cell>
          <cell r="BC51">
            <v>0</v>
          </cell>
          <cell r="BE51">
            <v>1</v>
          </cell>
          <cell r="BF51">
            <v>0</v>
          </cell>
          <cell r="BH51">
            <v>0</v>
          </cell>
          <cell r="BI51">
            <v>0</v>
          </cell>
          <cell r="BK51">
            <v>0</v>
          </cell>
          <cell r="BL51">
            <v>0</v>
          </cell>
          <cell r="BN51">
            <v>0</v>
          </cell>
          <cell r="BO51">
            <v>0</v>
          </cell>
          <cell r="BQ51">
            <v>0</v>
          </cell>
          <cell r="BR51">
            <v>0</v>
          </cell>
          <cell r="BT51">
            <v>0</v>
          </cell>
          <cell r="BU51">
            <v>0</v>
          </cell>
          <cell r="BW51">
            <v>0</v>
          </cell>
          <cell r="BX51">
            <v>0</v>
          </cell>
          <cell r="BZ51">
            <v>21</v>
          </cell>
          <cell r="CA51">
            <v>22</v>
          </cell>
          <cell r="CC51">
            <v>0</v>
          </cell>
          <cell r="CD51">
            <v>2</v>
          </cell>
          <cell r="CF51">
            <v>0</v>
          </cell>
          <cell r="CG51">
            <v>0</v>
          </cell>
        </row>
        <row r="52">
          <cell r="A52">
            <v>46</v>
          </cell>
          <cell r="B52" t="str">
            <v>YRG Care</v>
          </cell>
          <cell r="C52" t="str">
            <v>Rajasthan</v>
          </cell>
          <cell r="D52" t="str">
            <v>POSITIVE WOMEN NETWORK OF RAJASTHAN SOCIETY</v>
          </cell>
          <cell r="E52" t="str">
            <v>SHRI GANGANAGAR</v>
          </cell>
          <cell r="H52">
            <v>96</v>
          </cell>
          <cell r="I52">
            <v>96</v>
          </cell>
          <cell r="K52">
            <v>1</v>
          </cell>
          <cell r="L52">
            <v>1</v>
          </cell>
          <cell r="N52">
            <v>81</v>
          </cell>
          <cell r="O52">
            <v>81</v>
          </cell>
          <cell r="Q52">
            <v>77</v>
          </cell>
          <cell r="R52">
            <v>70</v>
          </cell>
          <cell r="T52">
            <v>282</v>
          </cell>
          <cell r="U52">
            <v>201</v>
          </cell>
          <cell r="W52">
            <v>186</v>
          </cell>
          <cell r="Y52">
            <v>105</v>
          </cell>
          <cell r="AA52">
            <v>113</v>
          </cell>
          <cell r="AB52">
            <v>113</v>
          </cell>
          <cell r="AD52">
            <v>0</v>
          </cell>
          <cell r="AE52">
            <v>0</v>
          </cell>
          <cell r="AJ52">
            <v>23</v>
          </cell>
          <cell r="AK52">
            <v>15</v>
          </cell>
          <cell r="AM52">
            <v>0</v>
          </cell>
          <cell r="AN52">
            <v>0</v>
          </cell>
          <cell r="AP52">
            <v>21</v>
          </cell>
          <cell r="AQ52">
            <v>6</v>
          </cell>
          <cell r="AS52">
            <v>11</v>
          </cell>
          <cell r="AT52">
            <v>3</v>
          </cell>
          <cell r="AV52">
            <v>0</v>
          </cell>
          <cell r="AW52">
            <v>0</v>
          </cell>
          <cell r="AY52">
            <v>3</v>
          </cell>
          <cell r="AZ52">
            <v>3</v>
          </cell>
          <cell r="BB52">
            <v>19</v>
          </cell>
          <cell r="BC52">
            <v>2</v>
          </cell>
          <cell r="BE52">
            <v>6</v>
          </cell>
          <cell r="BF52">
            <v>6</v>
          </cell>
          <cell r="BH52">
            <v>0</v>
          </cell>
          <cell r="BI52">
            <v>0</v>
          </cell>
          <cell r="BK52">
            <v>4</v>
          </cell>
          <cell r="BL52">
            <v>1</v>
          </cell>
          <cell r="BN52">
            <v>2</v>
          </cell>
          <cell r="BO52">
            <v>2</v>
          </cell>
          <cell r="BQ52">
            <v>3</v>
          </cell>
          <cell r="BR52">
            <v>3</v>
          </cell>
          <cell r="BT52">
            <v>7</v>
          </cell>
          <cell r="BU52">
            <v>4</v>
          </cell>
          <cell r="BW52">
            <v>0</v>
          </cell>
          <cell r="BX52">
            <v>0</v>
          </cell>
          <cell r="BZ52">
            <v>96</v>
          </cell>
          <cell r="CA52">
            <v>96</v>
          </cell>
          <cell r="CC52">
            <v>46</v>
          </cell>
          <cell r="CD52">
            <v>46</v>
          </cell>
          <cell r="CF52">
            <v>0</v>
          </cell>
          <cell r="CG52">
            <v>0</v>
          </cell>
        </row>
        <row r="53">
          <cell r="A53">
            <v>47</v>
          </cell>
          <cell r="B53" t="str">
            <v>CHRI</v>
          </cell>
          <cell r="C53" t="str">
            <v>SIKKIM</v>
          </cell>
          <cell r="D53" t="str">
            <v>MSNP+</v>
          </cell>
          <cell r="E53" t="str">
            <v>GANGTOK</v>
          </cell>
          <cell r="H53">
            <v>7</v>
          </cell>
          <cell r="I53">
            <v>3</v>
          </cell>
          <cell r="K53">
            <v>0</v>
          </cell>
          <cell r="L53">
            <v>0</v>
          </cell>
          <cell r="N53">
            <v>7</v>
          </cell>
          <cell r="O53">
            <v>7</v>
          </cell>
          <cell r="Q53">
            <v>8</v>
          </cell>
          <cell r="R53">
            <v>8</v>
          </cell>
          <cell r="T53">
            <v>10</v>
          </cell>
          <cell r="U53">
            <v>8</v>
          </cell>
          <cell r="W53">
            <v>2</v>
          </cell>
          <cell r="Y53">
            <v>2</v>
          </cell>
          <cell r="AA53">
            <v>10</v>
          </cell>
          <cell r="AB53">
            <v>10</v>
          </cell>
          <cell r="AD53">
            <v>10</v>
          </cell>
          <cell r="AE53">
            <v>9</v>
          </cell>
          <cell r="AJ53">
            <v>0</v>
          </cell>
          <cell r="AK53">
            <v>0</v>
          </cell>
          <cell r="AM53">
            <v>0</v>
          </cell>
          <cell r="AN53">
            <v>0</v>
          </cell>
          <cell r="AP53">
            <v>11</v>
          </cell>
          <cell r="AQ53">
            <v>9</v>
          </cell>
          <cell r="AS53">
            <v>0</v>
          </cell>
          <cell r="AT53">
            <v>0</v>
          </cell>
          <cell r="AV53">
            <v>0</v>
          </cell>
          <cell r="AW53">
            <v>0</v>
          </cell>
          <cell r="AY53">
            <v>0</v>
          </cell>
          <cell r="AZ53">
            <v>0</v>
          </cell>
          <cell r="BB53">
            <v>8</v>
          </cell>
          <cell r="BC53">
            <v>4</v>
          </cell>
          <cell r="BE53">
            <v>0</v>
          </cell>
          <cell r="BF53">
            <v>0</v>
          </cell>
          <cell r="BH53">
            <v>0</v>
          </cell>
          <cell r="BI53">
            <v>0</v>
          </cell>
          <cell r="BK53">
            <v>1</v>
          </cell>
          <cell r="BL53">
            <v>1</v>
          </cell>
          <cell r="BN53">
            <v>0</v>
          </cell>
          <cell r="BO53">
            <v>0</v>
          </cell>
          <cell r="BQ53">
            <v>0</v>
          </cell>
          <cell r="BR53">
            <v>0</v>
          </cell>
          <cell r="BT53">
            <v>0</v>
          </cell>
          <cell r="BU53">
            <v>0</v>
          </cell>
          <cell r="BW53">
            <v>0</v>
          </cell>
          <cell r="BX53">
            <v>0</v>
          </cell>
          <cell r="BZ53">
            <v>3</v>
          </cell>
          <cell r="CA53">
            <v>4</v>
          </cell>
          <cell r="CC53">
            <v>5</v>
          </cell>
          <cell r="CD53">
            <v>5</v>
          </cell>
          <cell r="CF53">
            <v>0</v>
          </cell>
          <cell r="CG53">
            <v>0</v>
          </cell>
        </row>
        <row r="54">
          <cell r="A54">
            <v>48</v>
          </cell>
          <cell r="B54" t="str">
            <v>CHRI</v>
          </cell>
          <cell r="C54" t="str">
            <v>Tripura</v>
          </cell>
          <cell r="D54" t="str">
            <v>HEPATITIS FOUNDATION OF TRIPURA (ANANDALOK)</v>
          </cell>
          <cell r="E54" t="str">
            <v>WEST</v>
          </cell>
          <cell r="H54">
            <v>256</v>
          </cell>
          <cell r="I54">
            <v>240</v>
          </cell>
          <cell r="K54">
            <v>0</v>
          </cell>
          <cell r="L54">
            <v>0</v>
          </cell>
          <cell r="N54">
            <v>255</v>
          </cell>
          <cell r="O54">
            <v>247</v>
          </cell>
          <cell r="Q54">
            <v>242</v>
          </cell>
          <cell r="R54">
            <v>165</v>
          </cell>
          <cell r="T54">
            <v>2279</v>
          </cell>
          <cell r="U54">
            <v>1317</v>
          </cell>
          <cell r="W54">
            <v>1346</v>
          </cell>
          <cell r="Y54">
            <v>608</v>
          </cell>
          <cell r="AA54">
            <v>70</v>
          </cell>
          <cell r="AB54">
            <v>50</v>
          </cell>
          <cell r="AD54">
            <v>54</v>
          </cell>
          <cell r="AE54">
            <v>0</v>
          </cell>
          <cell r="AJ54">
            <v>1155</v>
          </cell>
          <cell r="AK54">
            <v>189</v>
          </cell>
          <cell r="AM54">
            <v>1</v>
          </cell>
          <cell r="AN54">
            <v>0</v>
          </cell>
          <cell r="AP54">
            <v>1008</v>
          </cell>
          <cell r="AQ54">
            <v>56</v>
          </cell>
          <cell r="AS54">
            <v>31</v>
          </cell>
          <cell r="AT54">
            <v>31</v>
          </cell>
          <cell r="AV54">
            <v>31</v>
          </cell>
          <cell r="AW54">
            <v>31</v>
          </cell>
          <cell r="AY54">
            <v>8</v>
          </cell>
          <cell r="AZ54">
            <v>8</v>
          </cell>
          <cell r="BB54">
            <v>33</v>
          </cell>
          <cell r="BC54">
            <v>33</v>
          </cell>
          <cell r="BE54">
            <v>10</v>
          </cell>
          <cell r="BF54">
            <v>10</v>
          </cell>
          <cell r="BH54">
            <v>9</v>
          </cell>
          <cell r="BI54">
            <v>6</v>
          </cell>
          <cell r="BK54">
            <v>14</v>
          </cell>
          <cell r="BL54">
            <v>16</v>
          </cell>
          <cell r="BN54">
            <v>7</v>
          </cell>
          <cell r="BO54">
            <v>9</v>
          </cell>
          <cell r="BQ54">
            <v>24</v>
          </cell>
          <cell r="BR54">
            <v>17</v>
          </cell>
          <cell r="BT54">
            <v>6</v>
          </cell>
          <cell r="BU54">
            <v>8</v>
          </cell>
          <cell r="BW54">
            <v>0</v>
          </cell>
          <cell r="BX54">
            <v>0</v>
          </cell>
          <cell r="BZ54">
            <v>240</v>
          </cell>
          <cell r="CA54">
            <v>240</v>
          </cell>
          <cell r="CC54">
            <v>22</v>
          </cell>
          <cell r="CD54">
            <v>16</v>
          </cell>
          <cell r="CF54">
            <v>0</v>
          </cell>
          <cell r="CG54">
            <v>0</v>
          </cell>
        </row>
        <row r="55">
          <cell r="A55">
            <v>49</v>
          </cell>
          <cell r="B55" t="str">
            <v>UPNP+</v>
          </cell>
          <cell r="C55" t="str">
            <v>Uttar Pradesh</v>
          </cell>
          <cell r="D55" t="str">
            <v>AGRA POSITIVE PEOPLE WELFARE SOCIETY</v>
          </cell>
          <cell r="E55" t="str">
            <v>AGRA</v>
          </cell>
          <cell r="H55">
            <v>132</v>
          </cell>
          <cell r="I55">
            <v>87</v>
          </cell>
          <cell r="K55">
            <v>0</v>
          </cell>
          <cell r="L55">
            <v>0</v>
          </cell>
          <cell r="N55">
            <v>135</v>
          </cell>
          <cell r="O55">
            <v>135</v>
          </cell>
          <cell r="Q55">
            <v>151</v>
          </cell>
          <cell r="R55">
            <v>132</v>
          </cell>
          <cell r="T55">
            <v>796</v>
          </cell>
          <cell r="U55">
            <v>652</v>
          </cell>
          <cell r="W55">
            <v>194</v>
          </cell>
          <cell r="Y55">
            <v>156</v>
          </cell>
          <cell r="AA55">
            <v>65</v>
          </cell>
          <cell r="AB55">
            <v>65</v>
          </cell>
          <cell r="AD55">
            <v>105</v>
          </cell>
          <cell r="AE55">
            <v>95</v>
          </cell>
          <cell r="AJ55">
            <v>404</v>
          </cell>
          <cell r="AK55">
            <v>320</v>
          </cell>
          <cell r="AM55">
            <v>14</v>
          </cell>
          <cell r="AN55">
            <v>9</v>
          </cell>
          <cell r="AP55">
            <v>3</v>
          </cell>
          <cell r="AQ55">
            <v>13</v>
          </cell>
          <cell r="AS55">
            <v>28</v>
          </cell>
          <cell r="AT55">
            <v>28</v>
          </cell>
          <cell r="AV55">
            <v>0</v>
          </cell>
          <cell r="AW55">
            <v>0</v>
          </cell>
          <cell r="AY55">
            <v>32</v>
          </cell>
          <cell r="AZ55">
            <v>32</v>
          </cell>
          <cell r="BB55">
            <v>17</v>
          </cell>
          <cell r="BC55">
            <v>16</v>
          </cell>
          <cell r="BE55">
            <v>4</v>
          </cell>
          <cell r="BF55">
            <v>4</v>
          </cell>
          <cell r="BH55">
            <v>6</v>
          </cell>
          <cell r="BI55">
            <v>5</v>
          </cell>
          <cell r="BK55">
            <v>3</v>
          </cell>
          <cell r="BL55">
            <v>3</v>
          </cell>
          <cell r="BN55">
            <v>1</v>
          </cell>
          <cell r="BO55">
            <v>1</v>
          </cell>
          <cell r="BQ55">
            <v>3</v>
          </cell>
          <cell r="BR55">
            <v>3</v>
          </cell>
          <cell r="BT55">
            <v>2</v>
          </cell>
          <cell r="BU55">
            <v>2</v>
          </cell>
          <cell r="BW55">
            <v>0</v>
          </cell>
          <cell r="BX55">
            <v>0</v>
          </cell>
          <cell r="BZ55">
            <v>87</v>
          </cell>
          <cell r="CA55">
            <v>87</v>
          </cell>
          <cell r="CC55">
            <v>79</v>
          </cell>
          <cell r="CD55">
            <v>87</v>
          </cell>
          <cell r="CF55">
            <v>0</v>
          </cell>
          <cell r="CG55">
            <v>0</v>
          </cell>
        </row>
        <row r="56">
          <cell r="A56">
            <v>50</v>
          </cell>
          <cell r="B56" t="str">
            <v>UPNP+</v>
          </cell>
          <cell r="C56" t="str">
            <v>Uttar Pradesh</v>
          </cell>
          <cell r="D56" t="str">
            <v>HATHRAS POSITIVE PEOPLE WELFARE SOCIETY</v>
          </cell>
          <cell r="E56" t="str">
            <v>ALIGARH</v>
          </cell>
          <cell r="H56">
            <v>210</v>
          </cell>
          <cell r="I56">
            <v>179</v>
          </cell>
          <cell r="K56">
            <v>0</v>
          </cell>
          <cell r="L56">
            <v>0</v>
          </cell>
          <cell r="N56">
            <v>182</v>
          </cell>
          <cell r="O56">
            <v>182</v>
          </cell>
          <cell r="Q56">
            <v>179</v>
          </cell>
          <cell r="R56">
            <v>156</v>
          </cell>
          <cell r="T56">
            <v>1603</v>
          </cell>
          <cell r="U56">
            <v>1357</v>
          </cell>
          <cell r="W56">
            <v>237</v>
          </cell>
          <cell r="Y56">
            <v>170</v>
          </cell>
          <cell r="AA56">
            <v>124</v>
          </cell>
          <cell r="AB56">
            <v>124</v>
          </cell>
          <cell r="AD56">
            <v>45</v>
          </cell>
          <cell r="AE56">
            <v>29</v>
          </cell>
          <cell r="AJ56">
            <v>347</v>
          </cell>
          <cell r="AK56">
            <v>332</v>
          </cell>
          <cell r="AM56">
            <v>3</v>
          </cell>
          <cell r="AN56">
            <v>3</v>
          </cell>
          <cell r="AP56">
            <v>32</v>
          </cell>
          <cell r="AQ56">
            <v>28</v>
          </cell>
          <cell r="AS56">
            <v>39</v>
          </cell>
          <cell r="AT56">
            <v>28</v>
          </cell>
          <cell r="AV56">
            <v>0</v>
          </cell>
          <cell r="AW56">
            <v>0</v>
          </cell>
          <cell r="AY56">
            <v>14</v>
          </cell>
          <cell r="AZ56">
            <v>14</v>
          </cell>
          <cell r="BB56">
            <v>0</v>
          </cell>
          <cell r="BC56">
            <v>0</v>
          </cell>
          <cell r="BE56">
            <v>10</v>
          </cell>
          <cell r="BF56">
            <v>10</v>
          </cell>
          <cell r="BH56">
            <v>5</v>
          </cell>
          <cell r="BI56">
            <v>4</v>
          </cell>
          <cell r="BK56">
            <v>0</v>
          </cell>
          <cell r="BL56">
            <v>0</v>
          </cell>
          <cell r="BN56">
            <v>0</v>
          </cell>
          <cell r="BO56">
            <v>0</v>
          </cell>
          <cell r="BQ56">
            <v>0</v>
          </cell>
          <cell r="BR56">
            <v>0</v>
          </cell>
          <cell r="BT56">
            <v>0</v>
          </cell>
          <cell r="BU56">
            <v>0</v>
          </cell>
          <cell r="BW56">
            <v>0</v>
          </cell>
          <cell r="BX56">
            <v>0</v>
          </cell>
          <cell r="BZ56">
            <v>179</v>
          </cell>
          <cell r="CA56">
            <v>179</v>
          </cell>
          <cell r="CC56">
            <v>237</v>
          </cell>
          <cell r="CD56">
            <v>209</v>
          </cell>
          <cell r="CF56">
            <v>0</v>
          </cell>
          <cell r="CG56">
            <v>0</v>
          </cell>
        </row>
        <row r="57">
          <cell r="A57">
            <v>51</v>
          </cell>
          <cell r="B57" t="str">
            <v>UPNP+</v>
          </cell>
          <cell r="C57" t="str">
            <v>Uttar Pradesh</v>
          </cell>
          <cell r="D57" t="str">
            <v>ALLAHABAD NETWORK FOR PEOPLE LIVING WITH HIV/AIDS SOCIETY</v>
          </cell>
          <cell r="E57" t="str">
            <v>PRAYAGRAJ</v>
          </cell>
          <cell r="H57">
            <v>191</v>
          </cell>
          <cell r="I57">
            <v>182</v>
          </cell>
          <cell r="K57">
            <v>0</v>
          </cell>
          <cell r="L57">
            <v>0</v>
          </cell>
          <cell r="N57">
            <v>173</v>
          </cell>
          <cell r="O57">
            <v>173</v>
          </cell>
          <cell r="Q57">
            <v>193</v>
          </cell>
          <cell r="R57">
            <v>173</v>
          </cell>
          <cell r="T57">
            <v>971</v>
          </cell>
          <cell r="U57">
            <v>819</v>
          </cell>
          <cell r="W57">
            <v>182</v>
          </cell>
          <cell r="Y57">
            <v>183</v>
          </cell>
          <cell r="AA57">
            <v>63</v>
          </cell>
          <cell r="AB57">
            <v>63</v>
          </cell>
          <cell r="AD57">
            <v>68</v>
          </cell>
          <cell r="AE57">
            <v>61</v>
          </cell>
          <cell r="AJ57">
            <v>47</v>
          </cell>
          <cell r="AK57">
            <v>80</v>
          </cell>
          <cell r="AM57">
            <v>0</v>
          </cell>
          <cell r="AN57">
            <v>0</v>
          </cell>
          <cell r="AP57">
            <v>61</v>
          </cell>
          <cell r="AQ57">
            <v>54</v>
          </cell>
          <cell r="AS57">
            <v>42</v>
          </cell>
          <cell r="AT57">
            <v>10</v>
          </cell>
          <cell r="AV57">
            <v>0</v>
          </cell>
          <cell r="AW57">
            <v>0</v>
          </cell>
          <cell r="AY57">
            <v>50</v>
          </cell>
          <cell r="AZ57">
            <v>2</v>
          </cell>
          <cell r="BB57">
            <v>17</v>
          </cell>
          <cell r="BC57">
            <v>108</v>
          </cell>
          <cell r="BE57">
            <v>9</v>
          </cell>
          <cell r="BF57">
            <v>9</v>
          </cell>
          <cell r="BH57">
            <v>10</v>
          </cell>
          <cell r="BI57">
            <v>10</v>
          </cell>
          <cell r="BK57">
            <v>9</v>
          </cell>
          <cell r="BL57">
            <v>8</v>
          </cell>
          <cell r="BN57">
            <v>8</v>
          </cell>
          <cell r="BO57">
            <v>8</v>
          </cell>
          <cell r="BQ57">
            <v>16</v>
          </cell>
          <cell r="BR57">
            <v>15</v>
          </cell>
          <cell r="BT57">
            <v>7</v>
          </cell>
          <cell r="BU57">
            <v>7</v>
          </cell>
          <cell r="BW57">
            <v>0</v>
          </cell>
          <cell r="BX57">
            <v>0</v>
          </cell>
          <cell r="BZ57">
            <v>182</v>
          </cell>
          <cell r="CA57">
            <v>182</v>
          </cell>
          <cell r="CC57">
            <v>165</v>
          </cell>
          <cell r="CD57">
            <v>165</v>
          </cell>
          <cell r="CF57">
            <v>37</v>
          </cell>
          <cell r="CG57">
            <v>37</v>
          </cell>
        </row>
        <row r="58">
          <cell r="A58">
            <v>52</v>
          </cell>
          <cell r="B58" t="str">
            <v>UPNP+</v>
          </cell>
          <cell r="C58" t="str">
            <v>Uttar Pradesh</v>
          </cell>
          <cell r="D58" t="str">
            <v>AZAMGARH POSITIVE NETWORK OF PEOPLE LIVING WITH HIV/AIDS SOCIETY</v>
          </cell>
          <cell r="E58" t="str">
            <v>AZAMGARH</v>
          </cell>
          <cell r="H58">
            <v>86</v>
          </cell>
          <cell r="I58">
            <v>82</v>
          </cell>
          <cell r="K58">
            <v>0</v>
          </cell>
          <cell r="L58">
            <v>0</v>
          </cell>
          <cell r="N58">
            <v>67</v>
          </cell>
          <cell r="O58">
            <v>67</v>
          </cell>
          <cell r="Q58">
            <v>84</v>
          </cell>
          <cell r="R58">
            <v>72</v>
          </cell>
          <cell r="T58">
            <v>620</v>
          </cell>
          <cell r="U58">
            <v>569</v>
          </cell>
          <cell r="W58">
            <v>156</v>
          </cell>
          <cell r="Y58">
            <v>125</v>
          </cell>
          <cell r="AA58">
            <v>21</v>
          </cell>
          <cell r="AB58">
            <v>21</v>
          </cell>
          <cell r="AD58">
            <v>52</v>
          </cell>
          <cell r="AE58">
            <v>0</v>
          </cell>
          <cell r="AJ58">
            <v>108</v>
          </cell>
          <cell r="AK58">
            <v>83</v>
          </cell>
          <cell r="AM58">
            <v>0</v>
          </cell>
          <cell r="AN58">
            <v>0</v>
          </cell>
          <cell r="AP58">
            <v>12</v>
          </cell>
          <cell r="AQ58">
            <v>11</v>
          </cell>
          <cell r="AS58">
            <v>10</v>
          </cell>
          <cell r="AT58">
            <v>5</v>
          </cell>
          <cell r="AV58">
            <v>0</v>
          </cell>
          <cell r="AW58">
            <v>0</v>
          </cell>
          <cell r="AY58">
            <v>6</v>
          </cell>
          <cell r="AZ58">
            <v>6</v>
          </cell>
          <cell r="BB58">
            <v>11</v>
          </cell>
          <cell r="BC58">
            <v>10</v>
          </cell>
          <cell r="BE58">
            <v>2</v>
          </cell>
          <cell r="BF58">
            <v>2</v>
          </cell>
          <cell r="BH58">
            <v>3</v>
          </cell>
          <cell r="BI58">
            <v>3</v>
          </cell>
          <cell r="BK58">
            <v>0</v>
          </cell>
          <cell r="BL58">
            <v>0</v>
          </cell>
          <cell r="BN58">
            <v>0</v>
          </cell>
          <cell r="BO58">
            <v>0</v>
          </cell>
          <cell r="BQ58">
            <v>3</v>
          </cell>
          <cell r="BR58">
            <v>3</v>
          </cell>
          <cell r="BT58">
            <v>0</v>
          </cell>
          <cell r="BU58">
            <v>0</v>
          </cell>
          <cell r="BW58">
            <v>0</v>
          </cell>
          <cell r="BX58">
            <v>0</v>
          </cell>
          <cell r="BZ58">
            <v>82</v>
          </cell>
          <cell r="CA58">
            <v>82</v>
          </cell>
          <cell r="CC58">
            <v>33</v>
          </cell>
          <cell r="CD58">
            <v>36</v>
          </cell>
          <cell r="CF58">
            <v>0</v>
          </cell>
          <cell r="CG58">
            <v>0</v>
          </cell>
        </row>
        <row r="59">
          <cell r="A59">
            <v>53</v>
          </cell>
          <cell r="B59" t="str">
            <v>UPNP+</v>
          </cell>
          <cell r="C59" t="str">
            <v>Uttar Pradesh</v>
          </cell>
          <cell r="D59" t="str">
            <v>DEORIA WELFARE FOR PEOPLE LIVING WITH AIDS SOCIETY</v>
          </cell>
          <cell r="E59" t="str">
            <v>DEORIA</v>
          </cell>
          <cell r="H59">
            <v>29</v>
          </cell>
          <cell r="I59">
            <v>59</v>
          </cell>
          <cell r="K59">
            <v>0</v>
          </cell>
          <cell r="L59">
            <v>0</v>
          </cell>
          <cell r="N59">
            <v>69</v>
          </cell>
          <cell r="O59">
            <v>69</v>
          </cell>
          <cell r="Q59">
            <v>68</v>
          </cell>
          <cell r="R59">
            <v>66</v>
          </cell>
          <cell r="T59">
            <v>941</v>
          </cell>
          <cell r="U59">
            <v>824</v>
          </cell>
          <cell r="W59">
            <v>175</v>
          </cell>
          <cell r="Y59">
            <v>171</v>
          </cell>
          <cell r="AA59">
            <v>12</v>
          </cell>
          <cell r="AB59">
            <v>12</v>
          </cell>
          <cell r="AD59">
            <v>1</v>
          </cell>
          <cell r="AE59">
            <v>1</v>
          </cell>
          <cell r="AJ59">
            <v>307</v>
          </cell>
          <cell r="AK59">
            <v>307</v>
          </cell>
          <cell r="AM59">
            <v>0</v>
          </cell>
          <cell r="AN59">
            <v>0</v>
          </cell>
          <cell r="AP59">
            <v>27</v>
          </cell>
          <cell r="AQ59">
            <v>27</v>
          </cell>
          <cell r="AS59">
            <v>12</v>
          </cell>
          <cell r="AT59">
            <v>12</v>
          </cell>
          <cell r="AV59">
            <v>12</v>
          </cell>
          <cell r="AW59">
            <v>12</v>
          </cell>
          <cell r="AY59">
            <v>21</v>
          </cell>
          <cell r="AZ59">
            <v>21</v>
          </cell>
          <cell r="BB59">
            <v>0</v>
          </cell>
          <cell r="BC59">
            <v>0</v>
          </cell>
          <cell r="BE59">
            <v>0</v>
          </cell>
          <cell r="BF59">
            <v>0</v>
          </cell>
          <cell r="BH59">
            <v>1</v>
          </cell>
          <cell r="BI59">
            <v>1</v>
          </cell>
          <cell r="BK59">
            <v>3</v>
          </cell>
          <cell r="BL59">
            <v>3</v>
          </cell>
          <cell r="BN59">
            <v>0</v>
          </cell>
          <cell r="BO59">
            <v>0</v>
          </cell>
          <cell r="BQ59">
            <v>0</v>
          </cell>
          <cell r="BR59">
            <v>0</v>
          </cell>
          <cell r="BT59">
            <v>4</v>
          </cell>
          <cell r="BU59">
            <v>4</v>
          </cell>
          <cell r="BW59">
            <v>0</v>
          </cell>
          <cell r="BX59">
            <v>0</v>
          </cell>
          <cell r="BZ59">
            <v>59</v>
          </cell>
          <cell r="CA59">
            <v>59</v>
          </cell>
          <cell r="CC59">
            <v>50</v>
          </cell>
          <cell r="CD59">
            <v>30</v>
          </cell>
          <cell r="CF59">
            <v>0</v>
          </cell>
          <cell r="CG59">
            <v>0</v>
          </cell>
        </row>
        <row r="60">
          <cell r="A60">
            <v>54</v>
          </cell>
          <cell r="B60" t="str">
            <v>UPNP+</v>
          </cell>
          <cell r="C60" t="str">
            <v>Uttar Pradesh</v>
          </cell>
          <cell r="D60" t="str">
            <v>JYOTI GRAMIN KALYAN SANSTHAN</v>
          </cell>
          <cell r="E60" t="str">
            <v>GHAZIPUR</v>
          </cell>
          <cell r="H60">
            <v>48</v>
          </cell>
          <cell r="I60">
            <v>45</v>
          </cell>
          <cell r="K60">
            <v>2</v>
          </cell>
          <cell r="L60">
            <v>2</v>
          </cell>
          <cell r="N60">
            <v>43</v>
          </cell>
          <cell r="O60">
            <v>43</v>
          </cell>
          <cell r="Q60">
            <v>41</v>
          </cell>
          <cell r="R60">
            <v>37</v>
          </cell>
          <cell r="T60">
            <v>86</v>
          </cell>
          <cell r="U60">
            <v>51</v>
          </cell>
          <cell r="W60">
            <v>83</v>
          </cell>
          <cell r="Y60">
            <v>63</v>
          </cell>
          <cell r="AA60">
            <v>35</v>
          </cell>
          <cell r="AB60">
            <v>35</v>
          </cell>
          <cell r="AD60">
            <v>48</v>
          </cell>
          <cell r="AE60">
            <v>46</v>
          </cell>
          <cell r="AJ60">
            <v>53</v>
          </cell>
          <cell r="AK60">
            <v>53</v>
          </cell>
          <cell r="AM60">
            <v>0</v>
          </cell>
          <cell r="AN60">
            <v>0</v>
          </cell>
          <cell r="AP60">
            <v>2</v>
          </cell>
          <cell r="AQ60">
            <v>2</v>
          </cell>
          <cell r="AS60">
            <v>1</v>
          </cell>
          <cell r="AT60">
            <v>0</v>
          </cell>
          <cell r="AV60">
            <v>0</v>
          </cell>
          <cell r="AW60">
            <v>0</v>
          </cell>
          <cell r="AY60">
            <v>1</v>
          </cell>
          <cell r="AZ60">
            <v>1</v>
          </cell>
          <cell r="BB60">
            <v>2</v>
          </cell>
          <cell r="BC60">
            <v>2</v>
          </cell>
          <cell r="BE60">
            <v>2</v>
          </cell>
          <cell r="BF60">
            <v>2</v>
          </cell>
          <cell r="BH60">
            <v>7</v>
          </cell>
          <cell r="BI60">
            <v>7</v>
          </cell>
          <cell r="BK60">
            <v>1</v>
          </cell>
          <cell r="BL60">
            <v>1</v>
          </cell>
          <cell r="BN60">
            <v>4</v>
          </cell>
          <cell r="BO60">
            <v>4</v>
          </cell>
          <cell r="BQ60">
            <v>4</v>
          </cell>
          <cell r="BR60">
            <v>5</v>
          </cell>
          <cell r="BT60">
            <v>2</v>
          </cell>
          <cell r="BU60">
            <v>2</v>
          </cell>
          <cell r="BW60">
            <v>0</v>
          </cell>
          <cell r="BX60">
            <v>0</v>
          </cell>
          <cell r="BZ60">
            <v>45</v>
          </cell>
          <cell r="CA60">
            <v>45</v>
          </cell>
          <cell r="CC60">
            <v>24</v>
          </cell>
          <cell r="CD60">
            <v>21</v>
          </cell>
          <cell r="CF60">
            <v>0</v>
          </cell>
          <cell r="CG60">
            <v>0</v>
          </cell>
        </row>
        <row r="61">
          <cell r="A61">
            <v>55</v>
          </cell>
          <cell r="B61" t="str">
            <v>UPNP+</v>
          </cell>
          <cell r="C61" t="str">
            <v>Uttar Pradesh</v>
          </cell>
          <cell r="D61" t="str">
            <v>KUSHINAGAR WELFARE FOR PEOPLE LIVING WITH AIDS SOCIETY</v>
          </cell>
          <cell r="E61" t="str">
            <v>GORAKHPUR</v>
          </cell>
          <cell r="H61">
            <v>158</v>
          </cell>
          <cell r="I61">
            <v>129</v>
          </cell>
          <cell r="K61">
            <v>0</v>
          </cell>
          <cell r="L61">
            <v>0</v>
          </cell>
          <cell r="N61">
            <v>141</v>
          </cell>
          <cell r="O61">
            <v>141</v>
          </cell>
          <cell r="Q61">
            <v>155</v>
          </cell>
          <cell r="R61">
            <v>140</v>
          </cell>
          <cell r="T61">
            <v>668</v>
          </cell>
          <cell r="U61">
            <v>614</v>
          </cell>
          <cell r="W61">
            <v>176</v>
          </cell>
          <cell r="Y61">
            <v>153</v>
          </cell>
          <cell r="AA61">
            <v>144</v>
          </cell>
          <cell r="AB61">
            <v>144</v>
          </cell>
          <cell r="AD61">
            <v>62</v>
          </cell>
          <cell r="AE61">
            <v>47</v>
          </cell>
          <cell r="AJ61">
            <v>63</v>
          </cell>
          <cell r="AK61">
            <v>63</v>
          </cell>
          <cell r="AM61">
            <v>0</v>
          </cell>
          <cell r="AN61">
            <v>0</v>
          </cell>
          <cell r="AP61">
            <v>34</v>
          </cell>
          <cell r="AQ61">
            <v>37</v>
          </cell>
          <cell r="AS61">
            <v>40</v>
          </cell>
          <cell r="AT61">
            <v>40</v>
          </cell>
          <cell r="AV61">
            <v>0</v>
          </cell>
          <cell r="AW61">
            <v>0</v>
          </cell>
          <cell r="AY61">
            <v>1</v>
          </cell>
          <cell r="AZ61">
            <v>1</v>
          </cell>
          <cell r="BB61">
            <v>8</v>
          </cell>
          <cell r="BC61">
            <v>5</v>
          </cell>
          <cell r="BE61">
            <v>14</v>
          </cell>
          <cell r="BF61">
            <v>14</v>
          </cell>
          <cell r="BH61">
            <v>7</v>
          </cell>
          <cell r="BI61">
            <v>7</v>
          </cell>
          <cell r="BK61">
            <v>6</v>
          </cell>
          <cell r="BL61">
            <v>6</v>
          </cell>
          <cell r="BN61">
            <v>2</v>
          </cell>
          <cell r="BO61">
            <v>2</v>
          </cell>
          <cell r="BQ61">
            <v>7</v>
          </cell>
          <cell r="BR61">
            <v>7</v>
          </cell>
          <cell r="BT61">
            <v>11</v>
          </cell>
          <cell r="BU61">
            <v>11</v>
          </cell>
          <cell r="BW61">
            <v>0</v>
          </cell>
          <cell r="BX61">
            <v>0</v>
          </cell>
          <cell r="BZ61">
            <v>129</v>
          </cell>
          <cell r="CA61">
            <v>108</v>
          </cell>
          <cell r="CC61">
            <v>138</v>
          </cell>
          <cell r="CD61">
            <v>75</v>
          </cell>
          <cell r="CF61">
            <v>0</v>
          </cell>
          <cell r="CG61">
            <v>0</v>
          </cell>
        </row>
        <row r="62">
          <cell r="A62">
            <v>56</v>
          </cell>
          <cell r="B62" t="str">
            <v>UPNP+</v>
          </cell>
          <cell r="C62" t="str">
            <v>Uttar Pradesh</v>
          </cell>
          <cell r="D62" t="str">
            <v>JAUNPUR NETWORK FOR HIV POSITIVE PEOPLE LIVING WITH AIDS SOCIETY</v>
          </cell>
          <cell r="E62" t="str">
            <v>JAUNPUR</v>
          </cell>
          <cell r="H62">
            <v>31</v>
          </cell>
          <cell r="I62">
            <v>55</v>
          </cell>
          <cell r="K62">
            <v>9</v>
          </cell>
          <cell r="L62">
            <v>9</v>
          </cell>
          <cell r="N62">
            <v>46</v>
          </cell>
          <cell r="O62">
            <v>46</v>
          </cell>
          <cell r="Q62">
            <v>34</v>
          </cell>
          <cell r="R62">
            <v>23</v>
          </cell>
          <cell r="T62">
            <v>276</v>
          </cell>
          <cell r="U62">
            <v>220</v>
          </cell>
          <cell r="W62">
            <v>66</v>
          </cell>
          <cell r="Y62">
            <v>49</v>
          </cell>
          <cell r="AA62">
            <v>44</v>
          </cell>
          <cell r="AB62">
            <v>44</v>
          </cell>
          <cell r="AD62">
            <v>50</v>
          </cell>
          <cell r="AE62">
            <v>15</v>
          </cell>
          <cell r="AJ62">
            <v>206</v>
          </cell>
          <cell r="AK62">
            <v>168</v>
          </cell>
          <cell r="AM62">
            <v>0</v>
          </cell>
          <cell r="AN62">
            <v>0</v>
          </cell>
          <cell r="AP62">
            <v>11</v>
          </cell>
          <cell r="AQ62">
            <v>11</v>
          </cell>
          <cell r="AS62">
            <v>1</v>
          </cell>
          <cell r="AT62">
            <v>1</v>
          </cell>
          <cell r="AV62">
            <v>0</v>
          </cell>
          <cell r="AW62">
            <v>0</v>
          </cell>
          <cell r="AY62">
            <v>3</v>
          </cell>
          <cell r="AZ62">
            <v>3</v>
          </cell>
          <cell r="BB62">
            <v>95</v>
          </cell>
          <cell r="BC62">
            <v>95</v>
          </cell>
          <cell r="BE62">
            <v>6</v>
          </cell>
          <cell r="BF62">
            <v>6</v>
          </cell>
          <cell r="BH62">
            <v>1</v>
          </cell>
          <cell r="BI62">
            <v>1</v>
          </cell>
          <cell r="BK62">
            <v>7</v>
          </cell>
          <cell r="BL62">
            <v>7</v>
          </cell>
          <cell r="BN62">
            <v>2</v>
          </cell>
          <cell r="BO62">
            <v>2</v>
          </cell>
          <cell r="BQ62">
            <v>2</v>
          </cell>
          <cell r="BR62">
            <v>2</v>
          </cell>
          <cell r="BT62">
            <v>3</v>
          </cell>
          <cell r="BU62">
            <v>2</v>
          </cell>
          <cell r="BW62">
            <v>0</v>
          </cell>
          <cell r="BX62">
            <v>0</v>
          </cell>
          <cell r="BZ62">
            <v>55</v>
          </cell>
          <cell r="CA62">
            <v>55</v>
          </cell>
          <cell r="CC62">
            <v>28</v>
          </cell>
          <cell r="CD62">
            <v>27</v>
          </cell>
          <cell r="CF62">
            <v>0</v>
          </cell>
          <cell r="CG62">
            <v>0</v>
          </cell>
        </row>
        <row r="63">
          <cell r="A63">
            <v>57</v>
          </cell>
          <cell r="B63" t="str">
            <v>UPNP+</v>
          </cell>
          <cell r="C63" t="str">
            <v>Uttar Pradesh</v>
          </cell>
          <cell r="D63" t="str">
            <v>ETAWAH NETWORK FOR PEOPLE LIVING WITH HIV/AIDS</v>
          </cell>
          <cell r="E63" t="str">
            <v>KANPUR</v>
          </cell>
          <cell r="H63">
            <v>170</v>
          </cell>
          <cell r="I63">
            <v>194</v>
          </cell>
          <cell r="K63">
            <v>5</v>
          </cell>
          <cell r="L63">
            <v>5</v>
          </cell>
          <cell r="N63">
            <v>224</v>
          </cell>
          <cell r="O63">
            <v>224</v>
          </cell>
          <cell r="Q63">
            <v>198</v>
          </cell>
          <cell r="R63">
            <v>159</v>
          </cell>
          <cell r="T63">
            <v>1093</v>
          </cell>
          <cell r="U63">
            <v>728</v>
          </cell>
          <cell r="W63">
            <v>447</v>
          </cell>
          <cell r="Y63">
            <v>285</v>
          </cell>
          <cell r="AA63">
            <v>12</v>
          </cell>
          <cell r="AB63">
            <v>12</v>
          </cell>
          <cell r="AD63">
            <v>2</v>
          </cell>
          <cell r="AE63">
            <v>0</v>
          </cell>
          <cell r="AJ63">
            <v>712</v>
          </cell>
          <cell r="AK63">
            <v>351</v>
          </cell>
          <cell r="AM63">
            <v>9</v>
          </cell>
          <cell r="AN63">
            <v>9</v>
          </cell>
          <cell r="AP63">
            <v>88</v>
          </cell>
          <cell r="AQ63">
            <v>69</v>
          </cell>
          <cell r="AS63">
            <v>71</v>
          </cell>
          <cell r="AT63">
            <v>0</v>
          </cell>
          <cell r="AV63">
            <v>0</v>
          </cell>
          <cell r="AW63">
            <v>0</v>
          </cell>
          <cell r="AY63">
            <v>30</v>
          </cell>
          <cell r="AZ63">
            <v>0</v>
          </cell>
          <cell r="BB63">
            <v>9</v>
          </cell>
          <cell r="BC63">
            <v>24</v>
          </cell>
          <cell r="BE63">
            <v>7</v>
          </cell>
          <cell r="BF63">
            <v>7</v>
          </cell>
          <cell r="BH63">
            <v>3</v>
          </cell>
          <cell r="BI63">
            <v>3</v>
          </cell>
          <cell r="BK63">
            <v>4</v>
          </cell>
          <cell r="BL63">
            <v>4</v>
          </cell>
          <cell r="BN63">
            <v>0</v>
          </cell>
          <cell r="BO63">
            <v>0</v>
          </cell>
          <cell r="BQ63">
            <v>0</v>
          </cell>
          <cell r="BR63">
            <v>0</v>
          </cell>
          <cell r="BT63">
            <v>0</v>
          </cell>
          <cell r="BU63">
            <v>0</v>
          </cell>
          <cell r="BW63">
            <v>0</v>
          </cell>
          <cell r="BX63">
            <v>0</v>
          </cell>
          <cell r="BZ63">
            <v>194</v>
          </cell>
          <cell r="CA63">
            <v>172</v>
          </cell>
          <cell r="CC63">
            <v>150</v>
          </cell>
          <cell r="CD63">
            <v>163</v>
          </cell>
          <cell r="CF63">
            <v>21</v>
          </cell>
          <cell r="CG63">
            <v>21</v>
          </cell>
        </row>
        <row r="64">
          <cell r="A64">
            <v>58</v>
          </cell>
          <cell r="B64" t="str">
            <v>UPNP+</v>
          </cell>
          <cell r="C64" t="str">
            <v>Uttar Pradesh</v>
          </cell>
          <cell r="D64" t="str">
            <v>KUSHINAGAR WELFARE FOR PEOPLE LIVING WITH AIDS SOCIETY</v>
          </cell>
          <cell r="E64" t="str">
            <v>KUSHINAGAR</v>
          </cell>
          <cell r="H64">
            <v>46</v>
          </cell>
          <cell r="I64">
            <v>44</v>
          </cell>
          <cell r="K64">
            <v>0</v>
          </cell>
          <cell r="L64">
            <v>0</v>
          </cell>
          <cell r="N64">
            <v>42</v>
          </cell>
          <cell r="O64">
            <v>42</v>
          </cell>
          <cell r="Q64">
            <v>68</v>
          </cell>
          <cell r="R64">
            <v>65</v>
          </cell>
          <cell r="T64">
            <v>274</v>
          </cell>
          <cell r="U64">
            <v>221</v>
          </cell>
          <cell r="W64">
            <v>77</v>
          </cell>
          <cell r="Y64">
            <v>89</v>
          </cell>
          <cell r="AA64">
            <v>15</v>
          </cell>
          <cell r="AB64">
            <v>15</v>
          </cell>
          <cell r="AD64">
            <v>35</v>
          </cell>
          <cell r="AE64">
            <v>9</v>
          </cell>
          <cell r="AJ64">
            <v>13</v>
          </cell>
          <cell r="AK64">
            <v>5</v>
          </cell>
          <cell r="AM64">
            <v>0</v>
          </cell>
          <cell r="AN64">
            <v>0</v>
          </cell>
          <cell r="AP64">
            <v>18</v>
          </cell>
          <cell r="AQ64">
            <v>5</v>
          </cell>
          <cell r="AS64">
            <v>24</v>
          </cell>
          <cell r="AT64">
            <v>24</v>
          </cell>
          <cell r="AV64">
            <v>0</v>
          </cell>
          <cell r="AW64">
            <v>0</v>
          </cell>
          <cell r="AY64">
            <v>40</v>
          </cell>
          <cell r="AZ64">
            <v>40</v>
          </cell>
          <cell r="BB64">
            <v>7</v>
          </cell>
          <cell r="BC64">
            <v>6</v>
          </cell>
          <cell r="BE64">
            <v>1</v>
          </cell>
          <cell r="BF64">
            <v>1</v>
          </cell>
          <cell r="BH64">
            <v>4</v>
          </cell>
          <cell r="BI64">
            <v>4</v>
          </cell>
          <cell r="BK64">
            <v>1</v>
          </cell>
          <cell r="BL64">
            <v>1</v>
          </cell>
          <cell r="BN64">
            <v>0</v>
          </cell>
          <cell r="BO64">
            <v>0</v>
          </cell>
          <cell r="BQ64">
            <v>5</v>
          </cell>
          <cell r="BR64">
            <v>3</v>
          </cell>
          <cell r="BT64">
            <v>2</v>
          </cell>
          <cell r="BU64">
            <v>1</v>
          </cell>
          <cell r="BW64">
            <v>0</v>
          </cell>
          <cell r="BX64">
            <v>0</v>
          </cell>
          <cell r="BZ64">
            <v>44</v>
          </cell>
          <cell r="CA64">
            <v>22</v>
          </cell>
          <cell r="CC64">
            <v>50</v>
          </cell>
          <cell r="CD64">
            <v>1</v>
          </cell>
          <cell r="CF64">
            <v>0</v>
          </cell>
          <cell r="CG64">
            <v>0</v>
          </cell>
        </row>
        <row r="65">
          <cell r="A65">
            <v>59</v>
          </cell>
          <cell r="B65" t="str">
            <v>UPNP+</v>
          </cell>
          <cell r="C65" t="str">
            <v>Uttar Pradesh</v>
          </cell>
          <cell r="D65" t="str">
            <v>SHARNAM SANSTHAN</v>
          </cell>
          <cell r="E65" t="str">
            <v>LUCKNOW</v>
          </cell>
          <cell r="H65">
            <v>340</v>
          </cell>
          <cell r="I65">
            <v>280</v>
          </cell>
          <cell r="K65">
            <v>0</v>
          </cell>
          <cell r="L65">
            <v>0</v>
          </cell>
          <cell r="N65">
            <v>308</v>
          </cell>
          <cell r="O65">
            <v>308</v>
          </cell>
          <cell r="Q65">
            <v>271</v>
          </cell>
          <cell r="R65">
            <v>207</v>
          </cell>
          <cell r="T65">
            <v>1016</v>
          </cell>
          <cell r="U65">
            <v>755</v>
          </cell>
          <cell r="W65">
            <v>217</v>
          </cell>
          <cell r="Y65">
            <v>211</v>
          </cell>
          <cell r="AA65">
            <v>156</v>
          </cell>
          <cell r="AB65">
            <v>156</v>
          </cell>
          <cell r="AD65">
            <v>131</v>
          </cell>
          <cell r="AE65">
            <v>109</v>
          </cell>
          <cell r="AJ65">
            <v>423</v>
          </cell>
          <cell r="AK65">
            <v>401</v>
          </cell>
          <cell r="AM65">
            <v>4</v>
          </cell>
          <cell r="AN65">
            <v>4</v>
          </cell>
          <cell r="AP65">
            <v>30</v>
          </cell>
          <cell r="AQ65">
            <v>27</v>
          </cell>
          <cell r="AS65">
            <v>18</v>
          </cell>
          <cell r="AT65">
            <v>18</v>
          </cell>
          <cell r="AV65">
            <v>0</v>
          </cell>
          <cell r="AW65">
            <v>0</v>
          </cell>
          <cell r="AY65">
            <v>11</v>
          </cell>
          <cell r="AZ65">
            <v>11</v>
          </cell>
          <cell r="BB65">
            <v>0</v>
          </cell>
          <cell r="BC65">
            <v>56</v>
          </cell>
          <cell r="BE65">
            <v>9</v>
          </cell>
          <cell r="BF65">
            <v>9</v>
          </cell>
          <cell r="BH65">
            <v>15</v>
          </cell>
          <cell r="BI65">
            <v>15</v>
          </cell>
          <cell r="BK65">
            <v>25</v>
          </cell>
          <cell r="BL65">
            <v>24</v>
          </cell>
          <cell r="BN65">
            <v>8</v>
          </cell>
          <cell r="BO65">
            <v>4</v>
          </cell>
          <cell r="BQ65">
            <v>5</v>
          </cell>
          <cell r="BR65">
            <v>4</v>
          </cell>
          <cell r="BT65">
            <v>2</v>
          </cell>
          <cell r="BU65">
            <v>2</v>
          </cell>
          <cell r="BW65">
            <v>0</v>
          </cell>
          <cell r="BX65">
            <v>0</v>
          </cell>
          <cell r="BZ65">
            <v>280</v>
          </cell>
          <cell r="CA65">
            <v>280</v>
          </cell>
          <cell r="CC65">
            <v>338</v>
          </cell>
          <cell r="CD65">
            <v>346</v>
          </cell>
          <cell r="CF65">
            <v>14</v>
          </cell>
          <cell r="CG65">
            <v>14</v>
          </cell>
        </row>
        <row r="66">
          <cell r="A66">
            <v>60</v>
          </cell>
          <cell r="B66" t="str">
            <v>UPNP+</v>
          </cell>
          <cell r="C66" t="str">
            <v>Uttar Pradesh</v>
          </cell>
          <cell r="D66" t="str">
            <v>BAREILLY POSITIVE PEOPLE WELFARE SOCIETY</v>
          </cell>
          <cell r="E66" t="str">
            <v>MEERUT</v>
          </cell>
          <cell r="H66">
            <v>507</v>
          </cell>
          <cell r="I66">
            <v>306</v>
          </cell>
          <cell r="K66">
            <v>2</v>
          </cell>
          <cell r="L66">
            <v>0</v>
          </cell>
          <cell r="N66">
            <v>452</v>
          </cell>
          <cell r="O66">
            <v>452</v>
          </cell>
          <cell r="Q66">
            <v>417</v>
          </cell>
          <cell r="R66">
            <v>345</v>
          </cell>
          <cell r="T66">
            <v>1417</v>
          </cell>
          <cell r="U66">
            <v>1371</v>
          </cell>
          <cell r="W66">
            <v>198</v>
          </cell>
          <cell r="Y66">
            <v>296</v>
          </cell>
          <cell r="AA66">
            <v>229</v>
          </cell>
          <cell r="AB66">
            <v>229</v>
          </cell>
          <cell r="AD66">
            <v>183</v>
          </cell>
          <cell r="AE66">
            <v>176</v>
          </cell>
          <cell r="AJ66">
            <v>417</v>
          </cell>
          <cell r="AK66">
            <v>414</v>
          </cell>
          <cell r="AM66">
            <v>2</v>
          </cell>
          <cell r="AN66">
            <v>2</v>
          </cell>
          <cell r="AP66">
            <v>45</v>
          </cell>
          <cell r="AQ66">
            <v>45</v>
          </cell>
          <cell r="AS66">
            <v>7</v>
          </cell>
          <cell r="AT66">
            <v>5</v>
          </cell>
          <cell r="AV66">
            <v>0</v>
          </cell>
          <cell r="AW66">
            <v>0</v>
          </cell>
          <cell r="AY66">
            <v>4</v>
          </cell>
          <cell r="AZ66">
            <v>4</v>
          </cell>
          <cell r="BB66">
            <v>88</v>
          </cell>
          <cell r="BC66">
            <v>101</v>
          </cell>
          <cell r="BE66">
            <v>28</v>
          </cell>
          <cell r="BF66">
            <v>28</v>
          </cell>
          <cell r="BH66">
            <v>10</v>
          </cell>
          <cell r="BI66">
            <v>10</v>
          </cell>
          <cell r="BK66">
            <v>1</v>
          </cell>
          <cell r="BL66">
            <v>1</v>
          </cell>
          <cell r="BN66">
            <v>1</v>
          </cell>
          <cell r="BO66">
            <v>1</v>
          </cell>
          <cell r="BQ66">
            <v>0</v>
          </cell>
          <cell r="BR66">
            <v>0</v>
          </cell>
          <cell r="BT66">
            <v>0</v>
          </cell>
          <cell r="BU66">
            <v>0</v>
          </cell>
          <cell r="BW66">
            <v>1</v>
          </cell>
          <cell r="BX66">
            <v>1</v>
          </cell>
          <cell r="BZ66">
            <v>306</v>
          </cell>
          <cell r="CA66">
            <v>306</v>
          </cell>
          <cell r="CC66">
            <v>476</v>
          </cell>
          <cell r="CD66">
            <v>407</v>
          </cell>
          <cell r="CF66">
            <v>0</v>
          </cell>
          <cell r="CG66">
            <v>0</v>
          </cell>
        </row>
        <row r="67">
          <cell r="A67">
            <v>61</v>
          </cell>
          <cell r="B67" t="str">
            <v>UPNP+</v>
          </cell>
          <cell r="C67" t="str">
            <v>Uttar Pradesh</v>
          </cell>
          <cell r="D67" t="str">
            <v>PRATAPGARH NETWORK FOR PEOPLE LIVING WITH HIV/AIDS SOCIETY (PNP PLUS)</v>
          </cell>
          <cell r="E67" t="str">
            <v>PRATAPGARH</v>
          </cell>
          <cell r="H67">
            <v>79</v>
          </cell>
          <cell r="I67">
            <v>79</v>
          </cell>
          <cell r="K67">
            <v>0</v>
          </cell>
          <cell r="L67">
            <v>0</v>
          </cell>
          <cell r="N67">
            <v>60</v>
          </cell>
          <cell r="O67">
            <v>60</v>
          </cell>
          <cell r="Q67">
            <v>73</v>
          </cell>
          <cell r="R67">
            <v>58</v>
          </cell>
          <cell r="T67">
            <v>183</v>
          </cell>
          <cell r="U67">
            <v>173</v>
          </cell>
          <cell r="W67">
            <v>23</v>
          </cell>
          <cell r="Y67">
            <v>16</v>
          </cell>
          <cell r="AA67">
            <v>39</v>
          </cell>
          <cell r="AB67">
            <v>39</v>
          </cell>
          <cell r="AD67">
            <v>28</v>
          </cell>
          <cell r="AE67">
            <v>22</v>
          </cell>
          <cell r="AJ67">
            <v>166</v>
          </cell>
          <cell r="AK67">
            <v>150</v>
          </cell>
          <cell r="AM67">
            <v>0</v>
          </cell>
          <cell r="AN67">
            <v>0</v>
          </cell>
          <cell r="AP67">
            <v>24</v>
          </cell>
          <cell r="AQ67">
            <v>48</v>
          </cell>
          <cell r="AS67">
            <v>4</v>
          </cell>
          <cell r="AT67">
            <v>3</v>
          </cell>
          <cell r="AV67">
            <v>0</v>
          </cell>
          <cell r="AW67">
            <v>0</v>
          </cell>
          <cell r="AY67">
            <v>3</v>
          </cell>
          <cell r="AZ67">
            <v>3</v>
          </cell>
          <cell r="BB67">
            <v>13</v>
          </cell>
          <cell r="BC67">
            <v>12</v>
          </cell>
          <cell r="BE67">
            <v>2</v>
          </cell>
          <cell r="BF67">
            <v>2</v>
          </cell>
          <cell r="BH67">
            <v>1</v>
          </cell>
          <cell r="BI67">
            <v>1</v>
          </cell>
          <cell r="BK67">
            <v>5</v>
          </cell>
          <cell r="BL67">
            <v>2</v>
          </cell>
          <cell r="BN67">
            <v>2</v>
          </cell>
          <cell r="BO67">
            <v>1</v>
          </cell>
          <cell r="BQ67">
            <v>10</v>
          </cell>
          <cell r="BR67">
            <v>4</v>
          </cell>
          <cell r="BT67">
            <v>3</v>
          </cell>
          <cell r="BU67">
            <v>1</v>
          </cell>
          <cell r="BW67">
            <v>0</v>
          </cell>
          <cell r="BX67">
            <v>0</v>
          </cell>
          <cell r="BZ67">
            <v>79</v>
          </cell>
          <cell r="CA67">
            <v>79</v>
          </cell>
          <cell r="CC67">
            <v>37</v>
          </cell>
          <cell r="CD67">
            <v>10</v>
          </cell>
          <cell r="CF67">
            <v>2</v>
          </cell>
          <cell r="CG67">
            <v>2</v>
          </cell>
        </row>
        <row r="68">
          <cell r="A68">
            <v>62</v>
          </cell>
          <cell r="B68" t="str">
            <v>UPNP+</v>
          </cell>
          <cell r="C68" t="str">
            <v>Uttar Pradesh</v>
          </cell>
          <cell r="D68" t="str">
            <v>CHANDRAKANTA GRAMODYOG SEVA SANSTHAN</v>
          </cell>
          <cell r="E68" t="str">
            <v>SIDDHARTH NAGAR</v>
          </cell>
          <cell r="H68">
            <v>54</v>
          </cell>
          <cell r="I68">
            <v>50</v>
          </cell>
          <cell r="K68">
            <v>6</v>
          </cell>
          <cell r="L68">
            <v>4</v>
          </cell>
          <cell r="N68">
            <v>51</v>
          </cell>
          <cell r="O68">
            <v>51</v>
          </cell>
          <cell r="Q68">
            <v>55</v>
          </cell>
          <cell r="R68">
            <v>43</v>
          </cell>
          <cell r="T68">
            <v>310</v>
          </cell>
          <cell r="U68">
            <v>283</v>
          </cell>
          <cell r="W68">
            <v>30</v>
          </cell>
          <cell r="Y68">
            <v>20</v>
          </cell>
          <cell r="AA68">
            <v>31</v>
          </cell>
          <cell r="AB68">
            <v>31</v>
          </cell>
          <cell r="AD68">
            <v>34</v>
          </cell>
          <cell r="AE68">
            <v>22</v>
          </cell>
          <cell r="AJ68">
            <v>23</v>
          </cell>
          <cell r="AK68">
            <v>23</v>
          </cell>
          <cell r="AM68">
            <v>0</v>
          </cell>
          <cell r="AN68">
            <v>0</v>
          </cell>
          <cell r="AP68">
            <v>21</v>
          </cell>
          <cell r="AQ68">
            <v>12</v>
          </cell>
          <cell r="AS68">
            <v>3</v>
          </cell>
          <cell r="AT68">
            <v>2</v>
          </cell>
          <cell r="AV68">
            <v>0</v>
          </cell>
          <cell r="AW68">
            <v>0</v>
          </cell>
          <cell r="AY68">
            <v>7</v>
          </cell>
          <cell r="AZ68">
            <v>6</v>
          </cell>
          <cell r="BB68">
            <v>0</v>
          </cell>
          <cell r="BC68">
            <v>0</v>
          </cell>
          <cell r="BE68">
            <v>0</v>
          </cell>
          <cell r="BF68">
            <v>0</v>
          </cell>
          <cell r="BH68">
            <v>5</v>
          </cell>
          <cell r="BI68">
            <v>3</v>
          </cell>
          <cell r="BK68">
            <v>1</v>
          </cell>
          <cell r="BL68">
            <v>1</v>
          </cell>
          <cell r="BN68">
            <v>1</v>
          </cell>
          <cell r="BO68">
            <v>1</v>
          </cell>
          <cell r="BQ68">
            <v>4</v>
          </cell>
          <cell r="BR68">
            <v>4</v>
          </cell>
          <cell r="BT68">
            <v>2</v>
          </cell>
          <cell r="BU68">
            <v>1</v>
          </cell>
          <cell r="BW68">
            <v>0</v>
          </cell>
          <cell r="BX68">
            <v>0</v>
          </cell>
          <cell r="BZ68">
            <v>50</v>
          </cell>
          <cell r="CA68">
            <v>50</v>
          </cell>
          <cell r="CC68">
            <v>84</v>
          </cell>
          <cell r="CD68">
            <v>84</v>
          </cell>
          <cell r="CF68">
            <v>0</v>
          </cell>
          <cell r="CG68">
            <v>0</v>
          </cell>
        </row>
        <row r="69">
          <cell r="A69">
            <v>63</v>
          </cell>
          <cell r="B69" t="str">
            <v>UPNP+</v>
          </cell>
          <cell r="C69" t="str">
            <v>Uttar Pradesh</v>
          </cell>
          <cell r="D69" t="str">
            <v>BANARAS NETWORK FOR POSITIVE PEOPLE LIVING WITH HIV/AIDS SOCIETY</v>
          </cell>
          <cell r="E69" t="str">
            <v>VARANASI</v>
          </cell>
          <cell r="H69">
            <v>245</v>
          </cell>
          <cell r="I69">
            <v>218</v>
          </cell>
          <cell r="K69">
            <v>26</v>
          </cell>
          <cell r="L69">
            <v>18</v>
          </cell>
          <cell r="N69">
            <v>217</v>
          </cell>
          <cell r="O69">
            <v>217</v>
          </cell>
          <cell r="Q69">
            <v>193</v>
          </cell>
          <cell r="R69">
            <v>180</v>
          </cell>
          <cell r="T69">
            <v>1104</v>
          </cell>
          <cell r="U69">
            <v>841</v>
          </cell>
          <cell r="W69">
            <v>389</v>
          </cell>
          <cell r="Y69">
            <v>311</v>
          </cell>
          <cell r="AA69">
            <v>76</v>
          </cell>
          <cell r="AB69">
            <v>76</v>
          </cell>
          <cell r="AD69">
            <v>193</v>
          </cell>
          <cell r="AE69">
            <v>123</v>
          </cell>
          <cell r="AJ69">
            <v>652</v>
          </cell>
          <cell r="AK69">
            <v>571</v>
          </cell>
          <cell r="AM69">
            <v>32</v>
          </cell>
          <cell r="AN69">
            <v>25</v>
          </cell>
          <cell r="AP69">
            <v>30</v>
          </cell>
          <cell r="AQ69">
            <v>31</v>
          </cell>
          <cell r="AS69">
            <v>16</v>
          </cell>
          <cell r="AT69">
            <v>8</v>
          </cell>
          <cell r="AV69">
            <v>0</v>
          </cell>
          <cell r="AW69">
            <v>0</v>
          </cell>
          <cell r="AY69">
            <v>14</v>
          </cell>
          <cell r="AZ69">
            <v>12</v>
          </cell>
          <cell r="BB69">
            <v>17</v>
          </cell>
          <cell r="BC69">
            <v>86</v>
          </cell>
          <cell r="BE69">
            <v>8</v>
          </cell>
          <cell r="BF69">
            <v>8</v>
          </cell>
          <cell r="BH69">
            <v>7</v>
          </cell>
          <cell r="BI69">
            <v>7</v>
          </cell>
          <cell r="BK69">
            <v>5</v>
          </cell>
          <cell r="BL69">
            <v>5</v>
          </cell>
          <cell r="BN69">
            <v>0</v>
          </cell>
          <cell r="BO69">
            <v>0</v>
          </cell>
          <cell r="BQ69">
            <v>0</v>
          </cell>
          <cell r="BR69">
            <v>0</v>
          </cell>
          <cell r="BT69">
            <v>1</v>
          </cell>
          <cell r="BU69">
            <v>1</v>
          </cell>
          <cell r="BW69">
            <v>0</v>
          </cell>
          <cell r="BX69">
            <v>0</v>
          </cell>
          <cell r="BZ69">
            <v>218</v>
          </cell>
          <cell r="CA69">
            <v>218</v>
          </cell>
          <cell r="CC69">
            <v>199</v>
          </cell>
          <cell r="CD69">
            <v>261</v>
          </cell>
          <cell r="CF69">
            <v>87</v>
          </cell>
          <cell r="CG69">
            <v>87</v>
          </cell>
        </row>
        <row r="70">
          <cell r="A70">
            <v>64</v>
          </cell>
          <cell r="B70" t="str">
            <v>UPNP+</v>
          </cell>
          <cell r="C70" t="str">
            <v>Uttar Pradesh</v>
          </cell>
          <cell r="D70" t="str">
            <v>ETAWAH NETWORK FOR PEOPLE LIVING WITH HIV/AIDS</v>
          </cell>
          <cell r="E70" t="str">
            <v>ETAWAH</v>
          </cell>
          <cell r="H70">
            <v>72</v>
          </cell>
          <cell r="I70">
            <v>65</v>
          </cell>
          <cell r="K70">
            <v>0</v>
          </cell>
          <cell r="L70">
            <v>0</v>
          </cell>
          <cell r="N70">
            <v>72</v>
          </cell>
          <cell r="O70">
            <v>72</v>
          </cell>
          <cell r="Q70">
            <v>55</v>
          </cell>
          <cell r="R70">
            <v>38</v>
          </cell>
          <cell r="T70">
            <v>334</v>
          </cell>
          <cell r="U70">
            <v>229</v>
          </cell>
          <cell r="W70">
            <v>185</v>
          </cell>
          <cell r="Y70">
            <v>112</v>
          </cell>
          <cell r="AA70">
            <v>16</v>
          </cell>
          <cell r="AB70">
            <v>16</v>
          </cell>
          <cell r="AD70">
            <v>0</v>
          </cell>
          <cell r="AE70">
            <v>0</v>
          </cell>
          <cell r="AJ70">
            <v>390</v>
          </cell>
          <cell r="AK70">
            <v>77</v>
          </cell>
          <cell r="AM70">
            <v>0</v>
          </cell>
          <cell r="AN70">
            <v>0</v>
          </cell>
          <cell r="AP70">
            <v>5</v>
          </cell>
          <cell r="AQ70">
            <v>1</v>
          </cell>
          <cell r="AS70">
            <v>8</v>
          </cell>
          <cell r="AT70">
            <v>0</v>
          </cell>
          <cell r="AV70">
            <v>0</v>
          </cell>
          <cell r="AW70">
            <v>0</v>
          </cell>
          <cell r="AY70">
            <v>2</v>
          </cell>
          <cell r="AZ70">
            <v>0</v>
          </cell>
          <cell r="BB70">
            <v>9</v>
          </cell>
          <cell r="BC70">
            <v>9</v>
          </cell>
          <cell r="BE70">
            <v>0</v>
          </cell>
          <cell r="BF70">
            <v>0</v>
          </cell>
          <cell r="BH70">
            <v>4</v>
          </cell>
          <cell r="BI70">
            <v>3</v>
          </cell>
          <cell r="BK70">
            <v>1</v>
          </cell>
          <cell r="BL70">
            <v>1</v>
          </cell>
          <cell r="BN70">
            <v>0</v>
          </cell>
          <cell r="BO70">
            <v>0</v>
          </cell>
          <cell r="BQ70">
            <v>1</v>
          </cell>
          <cell r="BR70">
            <v>1</v>
          </cell>
          <cell r="BT70">
            <v>0</v>
          </cell>
          <cell r="BU70">
            <v>0</v>
          </cell>
          <cell r="BW70">
            <v>0</v>
          </cell>
          <cell r="BX70">
            <v>0</v>
          </cell>
          <cell r="BZ70">
            <v>65</v>
          </cell>
          <cell r="CA70">
            <v>67</v>
          </cell>
          <cell r="CC70">
            <v>33</v>
          </cell>
          <cell r="CD70">
            <v>24</v>
          </cell>
          <cell r="CF70">
            <v>0</v>
          </cell>
          <cell r="CG70">
            <v>0</v>
          </cell>
        </row>
        <row r="71">
          <cell r="A71">
            <v>65</v>
          </cell>
          <cell r="B71" t="str">
            <v>UPNP+</v>
          </cell>
          <cell r="C71" t="str">
            <v>Uttar Pradesh</v>
          </cell>
          <cell r="D71" t="str">
            <v>MAUNP+</v>
          </cell>
          <cell r="E71" t="str">
            <v>MAU</v>
          </cell>
          <cell r="H71">
            <v>75</v>
          </cell>
          <cell r="I71">
            <v>51</v>
          </cell>
          <cell r="K71">
            <v>0</v>
          </cell>
          <cell r="L71">
            <v>0</v>
          </cell>
          <cell r="N71">
            <v>62</v>
          </cell>
          <cell r="O71">
            <v>62</v>
          </cell>
          <cell r="Q71">
            <v>45</v>
          </cell>
          <cell r="R71">
            <v>37</v>
          </cell>
          <cell r="T71">
            <v>520</v>
          </cell>
          <cell r="U71">
            <v>421</v>
          </cell>
          <cell r="W71">
            <v>93</v>
          </cell>
          <cell r="Y71">
            <v>73</v>
          </cell>
          <cell r="AA71">
            <v>23</v>
          </cell>
          <cell r="AB71">
            <v>23</v>
          </cell>
          <cell r="AD71">
            <v>18</v>
          </cell>
          <cell r="AE71">
            <v>11</v>
          </cell>
          <cell r="AJ71">
            <v>103</v>
          </cell>
          <cell r="AK71">
            <v>89</v>
          </cell>
          <cell r="AM71">
            <v>0</v>
          </cell>
          <cell r="AN71">
            <v>0</v>
          </cell>
          <cell r="AP71">
            <v>8</v>
          </cell>
          <cell r="AQ71">
            <v>7</v>
          </cell>
          <cell r="AS71">
            <v>2</v>
          </cell>
          <cell r="AT71">
            <v>2</v>
          </cell>
          <cell r="AV71">
            <v>0</v>
          </cell>
          <cell r="AW71">
            <v>0</v>
          </cell>
          <cell r="AY71">
            <v>1</v>
          </cell>
          <cell r="AZ71">
            <v>1</v>
          </cell>
          <cell r="BB71">
            <v>9</v>
          </cell>
          <cell r="BC71">
            <v>8</v>
          </cell>
          <cell r="BE71">
            <v>1</v>
          </cell>
          <cell r="BF71">
            <v>1</v>
          </cell>
          <cell r="BH71">
            <v>2</v>
          </cell>
          <cell r="BI71">
            <v>2</v>
          </cell>
          <cell r="BK71">
            <v>1</v>
          </cell>
          <cell r="BL71">
            <v>1</v>
          </cell>
          <cell r="BN71">
            <v>1</v>
          </cell>
          <cell r="BO71">
            <v>1</v>
          </cell>
          <cell r="BQ71">
            <v>4</v>
          </cell>
          <cell r="BR71">
            <v>3</v>
          </cell>
          <cell r="BT71">
            <v>2</v>
          </cell>
          <cell r="BU71">
            <v>2</v>
          </cell>
          <cell r="BW71">
            <v>0</v>
          </cell>
          <cell r="BX71">
            <v>0</v>
          </cell>
          <cell r="BZ71">
            <v>51</v>
          </cell>
          <cell r="CA71">
            <v>51</v>
          </cell>
          <cell r="CC71">
            <v>42</v>
          </cell>
          <cell r="CD71">
            <v>45</v>
          </cell>
          <cell r="CF71">
            <v>0</v>
          </cell>
          <cell r="CG71">
            <v>0</v>
          </cell>
        </row>
        <row r="72">
          <cell r="A72">
            <v>66</v>
          </cell>
          <cell r="B72" t="str">
            <v>UPNP+</v>
          </cell>
          <cell r="C72" t="str">
            <v>Uttar Pradesh</v>
          </cell>
          <cell r="D72" t="str">
            <v>POSITIVE WOMEN NETWORK SOCIETY</v>
          </cell>
          <cell r="E72" t="str">
            <v>AYODHYA</v>
          </cell>
          <cell r="H72">
            <v>96</v>
          </cell>
          <cell r="I72">
            <v>88</v>
          </cell>
          <cell r="K72">
            <v>0</v>
          </cell>
          <cell r="L72">
            <v>0</v>
          </cell>
          <cell r="N72">
            <v>90</v>
          </cell>
          <cell r="O72">
            <v>90</v>
          </cell>
          <cell r="Q72">
            <v>66</v>
          </cell>
          <cell r="R72">
            <v>57</v>
          </cell>
          <cell r="T72">
            <v>666</v>
          </cell>
          <cell r="U72">
            <v>540</v>
          </cell>
          <cell r="W72">
            <v>110</v>
          </cell>
          <cell r="Y72">
            <v>108</v>
          </cell>
          <cell r="AA72">
            <v>18</v>
          </cell>
          <cell r="AB72">
            <v>18</v>
          </cell>
          <cell r="AD72">
            <v>15</v>
          </cell>
          <cell r="AE72">
            <v>5</v>
          </cell>
          <cell r="AJ72">
            <v>112</v>
          </cell>
          <cell r="AK72">
            <v>110</v>
          </cell>
          <cell r="AM72">
            <v>0</v>
          </cell>
          <cell r="AN72">
            <v>0</v>
          </cell>
          <cell r="AP72">
            <v>19</v>
          </cell>
          <cell r="AQ72">
            <v>19</v>
          </cell>
          <cell r="AS72">
            <v>9</v>
          </cell>
          <cell r="AT72">
            <v>9</v>
          </cell>
          <cell r="AV72">
            <v>0</v>
          </cell>
          <cell r="AW72">
            <v>0</v>
          </cell>
          <cell r="AY72">
            <v>7</v>
          </cell>
          <cell r="AZ72">
            <v>7</v>
          </cell>
          <cell r="BB72">
            <v>14</v>
          </cell>
          <cell r="BC72">
            <v>12</v>
          </cell>
          <cell r="BE72">
            <v>3</v>
          </cell>
          <cell r="BF72">
            <v>3</v>
          </cell>
          <cell r="BH72">
            <v>6</v>
          </cell>
          <cell r="BI72">
            <v>6</v>
          </cell>
          <cell r="BK72">
            <v>9</v>
          </cell>
          <cell r="BL72">
            <v>8</v>
          </cell>
          <cell r="BN72">
            <v>1</v>
          </cell>
          <cell r="BO72">
            <v>1</v>
          </cell>
          <cell r="BQ72">
            <v>9</v>
          </cell>
          <cell r="BR72">
            <v>9</v>
          </cell>
          <cell r="BT72">
            <v>3</v>
          </cell>
          <cell r="BU72">
            <v>3</v>
          </cell>
          <cell r="BW72">
            <v>0</v>
          </cell>
          <cell r="BX72">
            <v>0</v>
          </cell>
          <cell r="BZ72">
            <v>88</v>
          </cell>
          <cell r="CA72">
            <v>87</v>
          </cell>
          <cell r="CC72">
            <v>44</v>
          </cell>
          <cell r="CD72">
            <v>22</v>
          </cell>
          <cell r="CF72">
            <v>0</v>
          </cell>
          <cell r="CG72">
            <v>0</v>
          </cell>
        </row>
        <row r="73">
          <cell r="A73">
            <v>67</v>
          </cell>
          <cell r="B73" t="str">
            <v>UPNP+</v>
          </cell>
          <cell r="C73" t="str">
            <v>Uttar Pradesh</v>
          </cell>
          <cell r="D73" t="str">
            <v>AGRA POSITIVE WELFARE SOCIETY</v>
          </cell>
          <cell r="E73" t="str">
            <v>JHANSI</v>
          </cell>
          <cell r="H73">
            <v>77</v>
          </cell>
          <cell r="I73">
            <v>58</v>
          </cell>
          <cell r="K73">
            <v>0</v>
          </cell>
          <cell r="L73">
            <v>0</v>
          </cell>
          <cell r="N73">
            <v>58</v>
          </cell>
          <cell r="O73">
            <v>58</v>
          </cell>
          <cell r="Q73">
            <v>103</v>
          </cell>
          <cell r="R73">
            <v>76</v>
          </cell>
          <cell r="T73">
            <v>628</v>
          </cell>
          <cell r="U73">
            <v>472</v>
          </cell>
          <cell r="W73">
            <v>154</v>
          </cell>
          <cell r="Y73">
            <v>160</v>
          </cell>
          <cell r="AA73">
            <v>3</v>
          </cell>
          <cell r="AB73">
            <v>3</v>
          </cell>
          <cell r="AD73">
            <v>35</v>
          </cell>
          <cell r="AE73">
            <v>8</v>
          </cell>
          <cell r="AJ73">
            <v>129</v>
          </cell>
          <cell r="AK73">
            <v>102</v>
          </cell>
          <cell r="AM73">
            <v>0</v>
          </cell>
          <cell r="AN73">
            <v>0</v>
          </cell>
          <cell r="AP73">
            <v>28</v>
          </cell>
          <cell r="AQ73">
            <v>28</v>
          </cell>
          <cell r="AS73">
            <v>12</v>
          </cell>
          <cell r="AT73">
            <v>3</v>
          </cell>
          <cell r="AV73">
            <v>0</v>
          </cell>
          <cell r="AW73">
            <v>0</v>
          </cell>
          <cell r="AY73">
            <v>16</v>
          </cell>
          <cell r="AZ73">
            <v>4</v>
          </cell>
          <cell r="BB73">
            <v>0</v>
          </cell>
          <cell r="BC73">
            <v>0</v>
          </cell>
          <cell r="BE73">
            <v>2</v>
          </cell>
          <cell r="BF73">
            <v>2</v>
          </cell>
          <cell r="BH73">
            <v>5</v>
          </cell>
          <cell r="BI73">
            <v>5</v>
          </cell>
          <cell r="BK73">
            <v>0</v>
          </cell>
          <cell r="BL73">
            <v>0</v>
          </cell>
          <cell r="BN73">
            <v>3</v>
          </cell>
          <cell r="BO73">
            <v>3</v>
          </cell>
          <cell r="BQ73">
            <v>1</v>
          </cell>
          <cell r="BR73">
            <v>1</v>
          </cell>
          <cell r="BT73">
            <v>1</v>
          </cell>
          <cell r="BU73">
            <v>0</v>
          </cell>
          <cell r="BW73">
            <v>0</v>
          </cell>
          <cell r="BX73">
            <v>0</v>
          </cell>
          <cell r="BZ73">
            <v>58</v>
          </cell>
          <cell r="CA73">
            <v>58</v>
          </cell>
          <cell r="CC73">
            <v>92</v>
          </cell>
          <cell r="CD73">
            <v>101</v>
          </cell>
          <cell r="CF73">
            <v>17</v>
          </cell>
          <cell r="CG73">
            <v>17</v>
          </cell>
        </row>
        <row r="74">
          <cell r="A74">
            <v>68</v>
          </cell>
          <cell r="B74" t="str">
            <v>UPNP+</v>
          </cell>
          <cell r="C74" t="str">
            <v>Uttar Pradesh</v>
          </cell>
          <cell r="D74" t="str">
            <v>BAREILLY POSITIVE PEOPLE WELFARE SOCIETY</v>
          </cell>
          <cell r="E74" t="str">
            <v>BAREILLY</v>
          </cell>
          <cell r="H74">
            <v>151</v>
          </cell>
          <cell r="I74">
            <v>86</v>
          </cell>
          <cell r="K74">
            <v>0</v>
          </cell>
          <cell r="L74">
            <v>0</v>
          </cell>
          <cell r="N74">
            <v>147</v>
          </cell>
          <cell r="O74">
            <v>147</v>
          </cell>
          <cell r="Q74">
            <v>141</v>
          </cell>
          <cell r="R74">
            <v>117</v>
          </cell>
          <cell r="T74">
            <v>567</v>
          </cell>
          <cell r="U74">
            <v>366</v>
          </cell>
          <cell r="W74">
            <v>151</v>
          </cell>
          <cell r="Y74">
            <v>134</v>
          </cell>
          <cell r="AA74">
            <v>21</v>
          </cell>
          <cell r="AB74">
            <v>21</v>
          </cell>
          <cell r="AD74">
            <v>9</v>
          </cell>
          <cell r="AE74">
            <v>6</v>
          </cell>
          <cell r="AJ74">
            <v>134</v>
          </cell>
          <cell r="AK74">
            <v>135</v>
          </cell>
          <cell r="AM74">
            <v>0</v>
          </cell>
          <cell r="AN74">
            <v>0</v>
          </cell>
          <cell r="AP74">
            <v>19</v>
          </cell>
          <cell r="AQ74">
            <v>15</v>
          </cell>
          <cell r="AS74">
            <v>29</v>
          </cell>
          <cell r="AT74">
            <v>0</v>
          </cell>
          <cell r="AV74">
            <v>0</v>
          </cell>
          <cell r="AW74">
            <v>0</v>
          </cell>
          <cell r="AY74">
            <v>40</v>
          </cell>
          <cell r="AZ74">
            <v>0</v>
          </cell>
          <cell r="BB74">
            <v>27</v>
          </cell>
          <cell r="BC74">
            <v>182</v>
          </cell>
          <cell r="BE74">
            <v>14</v>
          </cell>
          <cell r="BF74">
            <v>14</v>
          </cell>
          <cell r="BH74">
            <v>7</v>
          </cell>
          <cell r="BI74">
            <v>9</v>
          </cell>
          <cell r="BK74">
            <v>3</v>
          </cell>
          <cell r="BL74">
            <v>4</v>
          </cell>
          <cell r="BN74">
            <v>1</v>
          </cell>
          <cell r="BO74">
            <v>1</v>
          </cell>
          <cell r="BQ74">
            <v>12</v>
          </cell>
          <cell r="BR74">
            <v>12</v>
          </cell>
          <cell r="BT74">
            <v>9</v>
          </cell>
          <cell r="BU74">
            <v>8</v>
          </cell>
          <cell r="BW74">
            <v>0</v>
          </cell>
          <cell r="BX74">
            <v>0</v>
          </cell>
          <cell r="BZ74">
            <v>86</v>
          </cell>
          <cell r="CA74">
            <v>86</v>
          </cell>
          <cell r="CC74">
            <v>76</v>
          </cell>
          <cell r="CD74">
            <v>76</v>
          </cell>
          <cell r="CF74">
            <v>0</v>
          </cell>
          <cell r="CG74">
            <v>0</v>
          </cell>
        </row>
        <row r="75">
          <cell r="A75">
            <v>69</v>
          </cell>
          <cell r="B75" t="str">
            <v>UPNP+</v>
          </cell>
          <cell r="C75" t="str">
            <v>Uttar Pradesh</v>
          </cell>
          <cell r="D75" t="str">
            <v>POSITIVE WOMEN NETWORK SOCIETY</v>
          </cell>
          <cell r="E75" t="str">
            <v>RAE BARIELLY</v>
          </cell>
          <cell r="H75">
            <v>35</v>
          </cell>
          <cell r="I75">
            <v>33</v>
          </cell>
          <cell r="K75">
            <v>0</v>
          </cell>
          <cell r="L75">
            <v>0</v>
          </cell>
          <cell r="N75">
            <v>28</v>
          </cell>
          <cell r="O75">
            <v>28</v>
          </cell>
          <cell r="Q75">
            <v>23</v>
          </cell>
          <cell r="R75">
            <v>18</v>
          </cell>
          <cell r="T75">
            <v>98</v>
          </cell>
          <cell r="U75">
            <v>79</v>
          </cell>
          <cell r="W75">
            <v>4</v>
          </cell>
          <cell r="Y75">
            <v>7</v>
          </cell>
          <cell r="AA75">
            <v>36</v>
          </cell>
          <cell r="AB75">
            <v>36</v>
          </cell>
          <cell r="AD75">
            <v>33</v>
          </cell>
          <cell r="AE75">
            <v>21</v>
          </cell>
          <cell r="AJ75">
            <v>9</v>
          </cell>
          <cell r="AK75">
            <v>13</v>
          </cell>
          <cell r="AM75">
            <v>0</v>
          </cell>
          <cell r="AN75">
            <v>0</v>
          </cell>
          <cell r="AP75">
            <v>12</v>
          </cell>
          <cell r="AQ75">
            <v>9</v>
          </cell>
          <cell r="AS75">
            <v>4</v>
          </cell>
          <cell r="AT75">
            <v>4</v>
          </cell>
          <cell r="AV75">
            <v>0</v>
          </cell>
          <cell r="AW75">
            <v>0</v>
          </cell>
          <cell r="AY75">
            <v>1</v>
          </cell>
          <cell r="AZ75">
            <v>1</v>
          </cell>
          <cell r="BB75">
            <v>6</v>
          </cell>
          <cell r="BC75">
            <v>7</v>
          </cell>
          <cell r="BE75">
            <v>2</v>
          </cell>
          <cell r="BF75">
            <v>2</v>
          </cell>
          <cell r="BH75">
            <v>3</v>
          </cell>
          <cell r="BI75">
            <v>3</v>
          </cell>
          <cell r="BK75">
            <v>1</v>
          </cell>
          <cell r="BL75">
            <v>1</v>
          </cell>
          <cell r="BN75">
            <v>0</v>
          </cell>
          <cell r="BO75">
            <v>0</v>
          </cell>
          <cell r="BQ75">
            <v>3</v>
          </cell>
          <cell r="BR75">
            <v>1</v>
          </cell>
          <cell r="BT75">
            <v>1</v>
          </cell>
          <cell r="BU75">
            <v>1</v>
          </cell>
          <cell r="BW75">
            <v>0</v>
          </cell>
          <cell r="BX75">
            <v>0</v>
          </cell>
          <cell r="BZ75">
            <v>33</v>
          </cell>
          <cell r="CA75">
            <v>33</v>
          </cell>
          <cell r="CC75">
            <v>31</v>
          </cell>
          <cell r="CD75">
            <v>31</v>
          </cell>
          <cell r="CF75">
            <v>2</v>
          </cell>
          <cell r="CG75">
            <v>1</v>
          </cell>
        </row>
        <row r="76">
          <cell r="A76">
            <v>70</v>
          </cell>
          <cell r="B76" t="str">
            <v>UPNP+</v>
          </cell>
          <cell r="C76" t="str">
            <v>Uttar Pradesh</v>
          </cell>
          <cell r="D76" t="str">
            <v>CHANDAULI NETWORK FOR POSITIVE PEOPLE LIVING WITH HIV/AIDS SOCIETY</v>
          </cell>
          <cell r="E76" t="str">
            <v>BALLIA</v>
          </cell>
          <cell r="H76">
            <v>56</v>
          </cell>
          <cell r="I76">
            <v>54</v>
          </cell>
          <cell r="K76">
            <v>0</v>
          </cell>
          <cell r="L76">
            <v>0</v>
          </cell>
          <cell r="N76">
            <v>47</v>
          </cell>
          <cell r="O76">
            <v>47</v>
          </cell>
          <cell r="Q76">
            <v>48</v>
          </cell>
          <cell r="R76">
            <v>45</v>
          </cell>
          <cell r="T76">
            <v>424</v>
          </cell>
          <cell r="U76">
            <v>339</v>
          </cell>
          <cell r="W76">
            <v>120</v>
          </cell>
          <cell r="Y76">
            <v>115</v>
          </cell>
          <cell r="AA76">
            <v>0</v>
          </cell>
          <cell r="AB76">
            <v>0</v>
          </cell>
          <cell r="AD76">
            <v>11</v>
          </cell>
          <cell r="AE76">
            <v>5</v>
          </cell>
          <cell r="AJ76">
            <v>218</v>
          </cell>
          <cell r="AK76">
            <v>202</v>
          </cell>
          <cell r="AM76">
            <v>0</v>
          </cell>
          <cell r="AN76">
            <v>0</v>
          </cell>
          <cell r="AP76">
            <v>0</v>
          </cell>
          <cell r="AQ76">
            <v>7</v>
          </cell>
          <cell r="AS76">
            <v>18</v>
          </cell>
          <cell r="AT76">
            <v>12</v>
          </cell>
          <cell r="AV76">
            <v>0</v>
          </cell>
          <cell r="AW76">
            <v>0</v>
          </cell>
          <cell r="AY76">
            <v>18</v>
          </cell>
          <cell r="AZ76">
            <v>8</v>
          </cell>
          <cell r="BB76">
            <v>0</v>
          </cell>
          <cell r="BC76">
            <v>45</v>
          </cell>
          <cell r="BE76">
            <v>3</v>
          </cell>
          <cell r="BF76">
            <v>3</v>
          </cell>
          <cell r="BH76">
            <v>3</v>
          </cell>
          <cell r="BI76">
            <v>3</v>
          </cell>
          <cell r="BK76">
            <v>8</v>
          </cell>
          <cell r="BL76">
            <v>7</v>
          </cell>
          <cell r="BN76">
            <v>2</v>
          </cell>
          <cell r="BO76">
            <v>2</v>
          </cell>
          <cell r="BQ76">
            <v>3</v>
          </cell>
          <cell r="BR76">
            <v>3</v>
          </cell>
          <cell r="BT76">
            <v>2</v>
          </cell>
          <cell r="BU76">
            <v>3</v>
          </cell>
          <cell r="BW76">
            <v>0</v>
          </cell>
          <cell r="BX76">
            <v>0</v>
          </cell>
          <cell r="BZ76">
            <v>54</v>
          </cell>
          <cell r="CA76">
            <v>35</v>
          </cell>
          <cell r="CC76">
            <v>60</v>
          </cell>
          <cell r="CD76">
            <v>34</v>
          </cell>
          <cell r="CF76">
            <v>0</v>
          </cell>
          <cell r="CG76">
            <v>0</v>
          </cell>
        </row>
        <row r="77">
          <cell r="A77">
            <v>71</v>
          </cell>
          <cell r="B77" t="str">
            <v>UPNP+</v>
          </cell>
          <cell r="C77" t="str">
            <v>Uttar Pradesh</v>
          </cell>
          <cell r="D77" t="str">
            <v>THARU JANJATI MAHILA VIKAS SAMITI</v>
          </cell>
          <cell r="E77" t="str">
            <v>GONDA</v>
          </cell>
          <cell r="H77">
            <v>32</v>
          </cell>
          <cell r="I77">
            <v>34</v>
          </cell>
          <cell r="K77">
            <v>0</v>
          </cell>
          <cell r="L77">
            <v>0</v>
          </cell>
          <cell r="N77">
            <v>29</v>
          </cell>
          <cell r="O77">
            <v>29</v>
          </cell>
          <cell r="Q77">
            <v>27</v>
          </cell>
          <cell r="R77">
            <v>25</v>
          </cell>
          <cell r="T77">
            <v>151</v>
          </cell>
          <cell r="U77">
            <v>121</v>
          </cell>
          <cell r="W77">
            <v>33</v>
          </cell>
          <cell r="Y77">
            <v>20</v>
          </cell>
          <cell r="AA77">
            <v>15</v>
          </cell>
          <cell r="AB77">
            <v>15</v>
          </cell>
          <cell r="AD77">
            <v>14</v>
          </cell>
          <cell r="AE77">
            <v>12</v>
          </cell>
          <cell r="AJ77">
            <v>14</v>
          </cell>
          <cell r="AK77">
            <v>30</v>
          </cell>
          <cell r="AM77">
            <v>0</v>
          </cell>
          <cell r="AN77">
            <v>0</v>
          </cell>
          <cell r="AP77">
            <v>6</v>
          </cell>
          <cell r="AQ77">
            <v>3</v>
          </cell>
          <cell r="AS77">
            <v>28</v>
          </cell>
          <cell r="AT77">
            <v>28</v>
          </cell>
          <cell r="AV77">
            <v>0</v>
          </cell>
          <cell r="AW77">
            <v>0</v>
          </cell>
          <cell r="AY77">
            <v>26</v>
          </cell>
          <cell r="AZ77">
            <v>26</v>
          </cell>
          <cell r="BB77">
            <v>0</v>
          </cell>
          <cell r="BC77">
            <v>37</v>
          </cell>
          <cell r="BE77">
            <v>1</v>
          </cell>
          <cell r="BF77">
            <v>1</v>
          </cell>
          <cell r="BH77">
            <v>3</v>
          </cell>
          <cell r="BI77">
            <v>3</v>
          </cell>
          <cell r="BK77">
            <v>2</v>
          </cell>
          <cell r="BL77">
            <v>2</v>
          </cell>
          <cell r="BN77">
            <v>1</v>
          </cell>
          <cell r="BO77">
            <v>1</v>
          </cell>
          <cell r="BQ77">
            <v>1</v>
          </cell>
          <cell r="BR77">
            <v>1</v>
          </cell>
          <cell r="BT77">
            <v>0</v>
          </cell>
          <cell r="BU77">
            <v>0</v>
          </cell>
          <cell r="BW77">
            <v>0</v>
          </cell>
          <cell r="BX77">
            <v>0</v>
          </cell>
          <cell r="BZ77">
            <v>34</v>
          </cell>
          <cell r="CA77">
            <v>34</v>
          </cell>
          <cell r="CC77">
            <v>9</v>
          </cell>
          <cell r="CD77">
            <v>8</v>
          </cell>
          <cell r="CF77">
            <v>5</v>
          </cell>
          <cell r="CG77">
            <v>5</v>
          </cell>
        </row>
        <row r="78">
          <cell r="A78">
            <v>72</v>
          </cell>
          <cell r="B78" t="str">
            <v>UPNP+</v>
          </cell>
          <cell r="C78" t="str">
            <v>Uttar Pradesh</v>
          </cell>
          <cell r="D78" t="str">
            <v>SIDDHARTH NAGAR WELFARE FOR PEOPLE LIVNG WITH HIV/AIDS SOCIETY</v>
          </cell>
          <cell r="E78" t="str">
            <v>BASTI</v>
          </cell>
          <cell r="H78">
            <v>39</v>
          </cell>
          <cell r="I78">
            <v>23</v>
          </cell>
          <cell r="K78">
            <v>0</v>
          </cell>
          <cell r="L78">
            <v>0</v>
          </cell>
          <cell r="N78">
            <v>33</v>
          </cell>
          <cell r="O78">
            <v>33</v>
          </cell>
          <cell r="Q78">
            <v>24</v>
          </cell>
          <cell r="R78">
            <v>18</v>
          </cell>
          <cell r="T78">
            <v>209</v>
          </cell>
          <cell r="U78">
            <v>187</v>
          </cell>
          <cell r="W78">
            <v>37</v>
          </cell>
          <cell r="Y78">
            <v>42</v>
          </cell>
          <cell r="AA78">
            <v>23</v>
          </cell>
          <cell r="AB78">
            <v>23</v>
          </cell>
          <cell r="AD78">
            <v>19</v>
          </cell>
          <cell r="AE78">
            <v>3</v>
          </cell>
          <cell r="AJ78">
            <v>207</v>
          </cell>
          <cell r="AK78">
            <v>120</v>
          </cell>
          <cell r="AM78">
            <v>0</v>
          </cell>
          <cell r="AN78">
            <v>0</v>
          </cell>
          <cell r="AP78">
            <v>4</v>
          </cell>
          <cell r="AQ78">
            <v>0</v>
          </cell>
          <cell r="AS78">
            <v>0</v>
          </cell>
          <cell r="AT78">
            <v>0</v>
          </cell>
          <cell r="AV78">
            <v>0</v>
          </cell>
          <cell r="AW78">
            <v>0</v>
          </cell>
          <cell r="AY78">
            <v>0</v>
          </cell>
          <cell r="AZ78">
            <v>0</v>
          </cell>
          <cell r="BB78">
            <v>0</v>
          </cell>
          <cell r="BC78">
            <v>0</v>
          </cell>
          <cell r="BE78">
            <v>2</v>
          </cell>
          <cell r="BF78">
            <v>2</v>
          </cell>
          <cell r="BH78">
            <v>1</v>
          </cell>
          <cell r="BI78">
            <v>1</v>
          </cell>
          <cell r="BK78">
            <v>0</v>
          </cell>
          <cell r="BL78">
            <v>0</v>
          </cell>
          <cell r="BN78">
            <v>0</v>
          </cell>
          <cell r="BO78">
            <v>0</v>
          </cell>
          <cell r="BQ78">
            <v>4</v>
          </cell>
          <cell r="BR78">
            <v>3</v>
          </cell>
          <cell r="BT78">
            <v>1</v>
          </cell>
          <cell r="BU78">
            <v>0</v>
          </cell>
          <cell r="BW78">
            <v>0</v>
          </cell>
          <cell r="BX78">
            <v>0</v>
          </cell>
          <cell r="BZ78">
            <v>23</v>
          </cell>
          <cell r="CA78">
            <v>23</v>
          </cell>
          <cell r="CC78">
            <v>75</v>
          </cell>
          <cell r="CD78">
            <v>73</v>
          </cell>
          <cell r="CF78">
            <v>0</v>
          </cell>
          <cell r="CG78">
            <v>0</v>
          </cell>
        </row>
        <row r="79">
          <cell r="A79">
            <v>73</v>
          </cell>
          <cell r="B79" t="str">
            <v>UPNP+</v>
          </cell>
          <cell r="C79" t="str">
            <v>Uttar Pradesh</v>
          </cell>
          <cell r="D79" t="str">
            <v>DEORIA WELFARE FOR PEOPLE LIVING WITH HIV/AIDS SOCIETY</v>
          </cell>
          <cell r="E79" t="str">
            <v>MAHARAJGANJ</v>
          </cell>
          <cell r="H79">
            <v>47</v>
          </cell>
          <cell r="I79">
            <v>51</v>
          </cell>
          <cell r="K79">
            <v>0</v>
          </cell>
          <cell r="L79">
            <v>0</v>
          </cell>
          <cell r="N79">
            <v>43</v>
          </cell>
          <cell r="O79">
            <v>43</v>
          </cell>
          <cell r="Q79">
            <v>41</v>
          </cell>
          <cell r="R79">
            <v>38</v>
          </cell>
          <cell r="T79">
            <v>557</v>
          </cell>
          <cell r="U79">
            <v>490</v>
          </cell>
          <cell r="W79">
            <v>140</v>
          </cell>
          <cell r="Y79">
            <v>143</v>
          </cell>
          <cell r="AA79">
            <v>22</v>
          </cell>
          <cell r="AB79">
            <v>22</v>
          </cell>
          <cell r="AD79">
            <v>14</v>
          </cell>
          <cell r="AE79">
            <v>13</v>
          </cell>
          <cell r="AJ79">
            <v>6</v>
          </cell>
          <cell r="AK79">
            <v>6</v>
          </cell>
          <cell r="AM79">
            <v>0</v>
          </cell>
          <cell r="AN79">
            <v>0</v>
          </cell>
          <cell r="AP79">
            <v>29</v>
          </cell>
          <cell r="AQ79">
            <v>29</v>
          </cell>
          <cell r="AS79">
            <v>0</v>
          </cell>
          <cell r="AT79">
            <v>0</v>
          </cell>
          <cell r="AV79">
            <v>0</v>
          </cell>
          <cell r="AW79">
            <v>0</v>
          </cell>
          <cell r="AY79">
            <v>0</v>
          </cell>
          <cell r="AZ79">
            <v>0</v>
          </cell>
          <cell r="BB79">
            <v>20</v>
          </cell>
          <cell r="BC79">
            <v>20</v>
          </cell>
          <cell r="BE79">
            <v>0</v>
          </cell>
          <cell r="BF79">
            <v>0</v>
          </cell>
          <cell r="BH79">
            <v>3</v>
          </cell>
          <cell r="BI79">
            <v>3</v>
          </cell>
          <cell r="BK79">
            <v>2</v>
          </cell>
          <cell r="BL79">
            <v>2</v>
          </cell>
          <cell r="BN79">
            <v>1</v>
          </cell>
          <cell r="BO79">
            <v>1</v>
          </cell>
          <cell r="BQ79">
            <v>0</v>
          </cell>
          <cell r="BR79">
            <v>0</v>
          </cell>
          <cell r="BT79">
            <v>0</v>
          </cell>
          <cell r="BU79">
            <v>0</v>
          </cell>
          <cell r="BW79">
            <v>0</v>
          </cell>
          <cell r="BX79">
            <v>0</v>
          </cell>
          <cell r="BZ79">
            <v>51</v>
          </cell>
          <cell r="CA79">
            <v>51</v>
          </cell>
          <cell r="CC79">
            <v>9</v>
          </cell>
          <cell r="CD79">
            <v>7</v>
          </cell>
          <cell r="CF79">
            <v>16</v>
          </cell>
          <cell r="CG79">
            <v>16</v>
          </cell>
        </row>
        <row r="80">
          <cell r="A80">
            <v>74</v>
          </cell>
          <cell r="B80" t="str">
            <v>UPNP+</v>
          </cell>
          <cell r="C80" t="str">
            <v>Uttar Pradesh</v>
          </cell>
          <cell r="D80" t="str">
            <v>BASERA SAMAJIK SANSTHAN</v>
          </cell>
          <cell r="E80" t="str">
            <v>GHAZIABAD</v>
          </cell>
          <cell r="H80">
            <v>224</v>
          </cell>
          <cell r="I80">
            <v>163</v>
          </cell>
          <cell r="K80">
            <v>1</v>
          </cell>
          <cell r="L80">
            <v>1</v>
          </cell>
          <cell r="N80">
            <v>149</v>
          </cell>
          <cell r="O80">
            <v>149</v>
          </cell>
          <cell r="Q80">
            <v>166</v>
          </cell>
          <cell r="R80">
            <v>138</v>
          </cell>
          <cell r="T80">
            <v>719</v>
          </cell>
          <cell r="U80">
            <v>515</v>
          </cell>
          <cell r="W80">
            <v>181</v>
          </cell>
          <cell r="Y80">
            <v>151</v>
          </cell>
          <cell r="AA80">
            <v>21</v>
          </cell>
          <cell r="AB80">
            <v>21</v>
          </cell>
          <cell r="AD80">
            <v>39</v>
          </cell>
          <cell r="AE80">
            <v>16</v>
          </cell>
          <cell r="AJ80">
            <v>391</v>
          </cell>
          <cell r="AK80">
            <v>274</v>
          </cell>
          <cell r="AM80">
            <v>0</v>
          </cell>
          <cell r="AN80">
            <v>0</v>
          </cell>
          <cell r="AP80">
            <v>29</v>
          </cell>
          <cell r="AQ80">
            <v>20</v>
          </cell>
          <cell r="AS80">
            <v>8</v>
          </cell>
          <cell r="AT80">
            <v>8</v>
          </cell>
          <cell r="AV80">
            <v>0</v>
          </cell>
          <cell r="AW80">
            <v>0</v>
          </cell>
          <cell r="AY80">
            <v>2</v>
          </cell>
          <cell r="AZ80">
            <v>2</v>
          </cell>
          <cell r="BB80">
            <v>62</v>
          </cell>
          <cell r="BC80">
            <v>23</v>
          </cell>
          <cell r="BE80">
            <v>7</v>
          </cell>
          <cell r="BF80">
            <v>7</v>
          </cell>
          <cell r="BH80">
            <v>19</v>
          </cell>
          <cell r="BI80">
            <v>17</v>
          </cell>
          <cell r="BK80">
            <v>11</v>
          </cell>
          <cell r="BL80">
            <v>11</v>
          </cell>
          <cell r="BN80">
            <v>5</v>
          </cell>
          <cell r="BO80">
            <v>5</v>
          </cell>
          <cell r="BQ80">
            <v>5</v>
          </cell>
          <cell r="BR80">
            <v>5</v>
          </cell>
          <cell r="BT80">
            <v>1</v>
          </cell>
          <cell r="BU80">
            <v>1</v>
          </cell>
          <cell r="BW80">
            <v>0</v>
          </cell>
          <cell r="BX80">
            <v>0</v>
          </cell>
          <cell r="BZ80">
            <v>163</v>
          </cell>
          <cell r="CA80">
            <v>163</v>
          </cell>
          <cell r="CC80">
            <v>88</v>
          </cell>
          <cell r="CD80">
            <v>87</v>
          </cell>
          <cell r="CF80">
            <v>0</v>
          </cell>
          <cell r="CG80">
            <v>0</v>
          </cell>
        </row>
        <row r="81">
          <cell r="A81">
            <v>75</v>
          </cell>
          <cell r="B81" t="str">
            <v>UPNP+</v>
          </cell>
          <cell r="C81" t="str">
            <v>Uttar Pradesh</v>
          </cell>
          <cell r="D81" t="str">
            <v>MORADABAD NETWORK POSITIVE WELFARE SOCIETY</v>
          </cell>
          <cell r="E81" t="str">
            <v>SAHARANPUR</v>
          </cell>
          <cell r="H81">
            <v>87</v>
          </cell>
          <cell r="I81">
            <v>83</v>
          </cell>
          <cell r="K81">
            <v>0</v>
          </cell>
          <cell r="L81">
            <v>0</v>
          </cell>
          <cell r="N81">
            <v>84</v>
          </cell>
          <cell r="O81">
            <v>84</v>
          </cell>
          <cell r="Q81">
            <v>95</v>
          </cell>
          <cell r="R81">
            <v>78</v>
          </cell>
          <cell r="T81">
            <v>696</v>
          </cell>
          <cell r="U81">
            <v>596</v>
          </cell>
          <cell r="W81">
            <v>155</v>
          </cell>
          <cell r="Y81">
            <v>194</v>
          </cell>
          <cell r="AA81">
            <v>27</v>
          </cell>
          <cell r="AB81">
            <v>27</v>
          </cell>
          <cell r="AD81">
            <v>17</v>
          </cell>
          <cell r="AE81">
            <v>16</v>
          </cell>
          <cell r="AJ81">
            <v>149</v>
          </cell>
          <cell r="AK81">
            <v>142</v>
          </cell>
          <cell r="AM81">
            <v>1</v>
          </cell>
          <cell r="AN81">
            <v>0</v>
          </cell>
          <cell r="AP81">
            <v>15</v>
          </cell>
          <cell r="AQ81">
            <v>15</v>
          </cell>
          <cell r="AS81">
            <v>6</v>
          </cell>
          <cell r="AT81">
            <v>1</v>
          </cell>
          <cell r="AV81">
            <v>0</v>
          </cell>
          <cell r="AW81">
            <v>0</v>
          </cell>
          <cell r="AY81">
            <v>3</v>
          </cell>
          <cell r="AZ81">
            <v>3</v>
          </cell>
          <cell r="BB81">
            <v>25</v>
          </cell>
          <cell r="BC81">
            <v>20</v>
          </cell>
          <cell r="BE81">
            <v>3</v>
          </cell>
          <cell r="BF81">
            <v>3</v>
          </cell>
          <cell r="BH81">
            <v>4</v>
          </cell>
          <cell r="BI81">
            <v>4</v>
          </cell>
          <cell r="BK81">
            <v>2</v>
          </cell>
          <cell r="BL81">
            <v>3</v>
          </cell>
          <cell r="BN81">
            <v>3</v>
          </cell>
          <cell r="BO81">
            <v>3</v>
          </cell>
          <cell r="BQ81">
            <v>1</v>
          </cell>
          <cell r="BR81">
            <v>1</v>
          </cell>
          <cell r="BT81">
            <v>2</v>
          </cell>
          <cell r="BU81">
            <v>1</v>
          </cell>
          <cell r="BW81">
            <v>0</v>
          </cell>
          <cell r="BX81">
            <v>0</v>
          </cell>
          <cell r="BZ81">
            <v>83</v>
          </cell>
          <cell r="CA81">
            <v>83</v>
          </cell>
          <cell r="CC81">
            <v>71</v>
          </cell>
          <cell r="CD81">
            <v>71</v>
          </cell>
          <cell r="CF81">
            <v>1</v>
          </cell>
          <cell r="CG81">
            <v>1</v>
          </cell>
        </row>
        <row r="82">
          <cell r="A82">
            <v>76</v>
          </cell>
          <cell r="B82" t="str">
            <v>CHRI</v>
          </cell>
          <cell r="C82" t="str">
            <v>WEST BENGAL</v>
          </cell>
          <cell r="D82" t="str">
            <v>KOLKATA RISTA-MNP+</v>
          </cell>
          <cell r="E82" t="str">
            <v>MALDA</v>
          </cell>
          <cell r="H82">
            <v>42</v>
          </cell>
          <cell r="I82">
            <v>100</v>
          </cell>
          <cell r="K82">
            <v>0</v>
          </cell>
          <cell r="L82">
            <v>0</v>
          </cell>
          <cell r="N82">
            <v>39</v>
          </cell>
          <cell r="O82">
            <v>39</v>
          </cell>
          <cell r="Q82">
            <v>44</v>
          </cell>
          <cell r="R82">
            <v>39</v>
          </cell>
          <cell r="T82">
            <v>220</v>
          </cell>
          <cell r="U82">
            <v>201</v>
          </cell>
          <cell r="W82">
            <v>18</v>
          </cell>
          <cell r="Y82">
            <v>27</v>
          </cell>
          <cell r="AA82">
            <v>22</v>
          </cell>
          <cell r="AB82">
            <v>22</v>
          </cell>
          <cell r="AD82">
            <v>19</v>
          </cell>
          <cell r="AE82">
            <v>38</v>
          </cell>
          <cell r="AJ82">
            <v>67</v>
          </cell>
          <cell r="AK82">
            <v>69</v>
          </cell>
          <cell r="AM82">
            <v>0</v>
          </cell>
          <cell r="AN82">
            <v>0</v>
          </cell>
          <cell r="AP82">
            <v>6</v>
          </cell>
          <cell r="AQ82">
            <v>5</v>
          </cell>
          <cell r="AS82">
            <v>2</v>
          </cell>
          <cell r="AT82">
            <v>2</v>
          </cell>
          <cell r="AV82">
            <v>0</v>
          </cell>
          <cell r="AW82">
            <v>0</v>
          </cell>
          <cell r="AY82">
            <v>4</v>
          </cell>
          <cell r="AZ82">
            <v>4</v>
          </cell>
          <cell r="BB82">
            <v>7</v>
          </cell>
          <cell r="BC82">
            <v>7</v>
          </cell>
          <cell r="BE82">
            <v>0</v>
          </cell>
          <cell r="BF82">
            <v>0</v>
          </cell>
          <cell r="BH82">
            <v>8</v>
          </cell>
          <cell r="BI82">
            <v>8</v>
          </cell>
          <cell r="BK82">
            <v>1</v>
          </cell>
          <cell r="BL82">
            <v>1</v>
          </cell>
          <cell r="BN82">
            <v>4</v>
          </cell>
          <cell r="BO82">
            <v>3</v>
          </cell>
          <cell r="BQ82">
            <v>3</v>
          </cell>
          <cell r="BR82">
            <v>3</v>
          </cell>
          <cell r="BT82">
            <v>1</v>
          </cell>
          <cell r="BU82">
            <v>1</v>
          </cell>
          <cell r="BW82">
            <v>0</v>
          </cell>
          <cell r="BX82">
            <v>0</v>
          </cell>
          <cell r="BZ82">
            <v>100</v>
          </cell>
          <cell r="CA82">
            <v>100</v>
          </cell>
          <cell r="CC82">
            <v>2</v>
          </cell>
          <cell r="CD82">
            <v>2</v>
          </cell>
          <cell r="CF82">
            <v>0</v>
          </cell>
          <cell r="CG82">
            <v>0</v>
          </cell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F83"/>
  <sheetViews>
    <sheetView tabSelected="1" zoomScale="93" zoomScaleNormal="93" workbookViewId="0">
      <pane xSplit="6" ySplit="6" topLeftCell="J7" activePane="bottomRight" state="frozen"/>
      <selection pane="topRight" activeCell="H1" sqref="H1"/>
      <selection pane="bottomLeft" activeCell="A7" sqref="A7"/>
      <selection pane="bottomRight" activeCell="E8" sqref="E8"/>
    </sheetView>
  </sheetViews>
  <sheetFormatPr defaultColWidth="8.7109375" defaultRowHeight="15" x14ac:dyDescent="0.25"/>
  <cols>
    <col min="1" max="1" width="3.85546875" style="16" customWidth="1"/>
    <col min="2" max="2" width="6.42578125" style="16" customWidth="1"/>
    <col min="3" max="3" width="15.28515625" style="2" customWidth="1"/>
    <col min="4" max="4" width="18" style="4" customWidth="1"/>
    <col min="5" max="5" width="13.5703125" style="2" customWidth="1"/>
    <col min="6" max="6" width="10.42578125" style="16" customWidth="1"/>
    <col min="7" max="7" width="12.140625" style="5" customWidth="1"/>
    <col min="8" max="8" width="11.140625" style="5" customWidth="1"/>
    <col min="9" max="9" width="10.42578125" style="5" customWidth="1"/>
    <col min="10" max="10" width="13.140625" style="5" customWidth="1"/>
    <col min="11" max="11" width="9.5703125" style="5" customWidth="1"/>
    <col min="12" max="12" width="10.28515625" style="5" customWidth="1"/>
    <col min="13" max="14" width="13.140625" style="5" customWidth="1"/>
    <col min="15" max="18" width="10.85546875" style="5" customWidth="1"/>
    <col min="19" max="20" width="13.140625" style="5" customWidth="1"/>
    <col min="21" max="21" width="10.85546875" style="5" customWidth="1"/>
    <col min="22" max="23" width="13.140625" style="5" customWidth="1"/>
    <col min="24" max="24" width="11.28515625" style="5" customWidth="1"/>
    <col min="25" max="26" width="13.140625" style="5" customWidth="1"/>
    <col min="27" max="27" width="10.7109375" style="5" customWidth="1"/>
    <col min="28" max="29" width="13.140625" style="5" customWidth="1"/>
    <col min="30" max="30" width="10.42578125" style="5" customWidth="1"/>
    <col min="31" max="31" width="14.7109375" style="5" customWidth="1"/>
    <col min="32" max="32" width="13.140625" style="5" customWidth="1"/>
    <col min="33" max="33" width="10.85546875" style="5" customWidth="1"/>
    <col min="34" max="35" width="15" style="5" customWidth="1"/>
    <col min="36" max="36" width="11.42578125" style="5" customWidth="1"/>
    <col min="37" max="37" width="14.140625" style="5" customWidth="1"/>
    <col min="38" max="38" width="14.42578125" style="5" customWidth="1"/>
    <col min="39" max="39" width="11.42578125" style="5" customWidth="1"/>
    <col min="40" max="41" width="13.140625" style="5" customWidth="1"/>
    <col min="42" max="42" width="11.28515625" style="5" customWidth="1"/>
    <col min="43" max="44" width="13.140625" style="5" customWidth="1"/>
    <col min="45" max="45" width="10.42578125" style="5" customWidth="1"/>
    <col min="46" max="47" width="13.140625" style="5" customWidth="1"/>
    <col min="48" max="51" width="9.85546875" style="5" customWidth="1"/>
    <col min="52" max="57" width="8.7109375" style="5"/>
    <col min="58" max="59" width="11" style="5" customWidth="1"/>
    <col min="60" max="72" width="8.7109375" style="5"/>
    <col min="73" max="74" width="11.7109375" style="5" customWidth="1"/>
    <col min="75" max="75" width="9.7109375" style="5" customWidth="1"/>
    <col min="76" max="79" width="8.7109375" style="5"/>
    <col min="80" max="80" width="10.42578125" style="5" customWidth="1"/>
    <col min="81" max="84" width="8.7109375" style="5"/>
    <col min="85" max="16384" width="8.7109375" style="16"/>
  </cols>
  <sheetData>
    <row r="1" spans="1:84" s="44" customFormat="1" x14ac:dyDescent="0.25">
      <c r="A1" s="36" t="s">
        <v>0</v>
      </c>
      <c r="B1" s="37" t="str">
        <f>'[1]CSC Wise Data'!A1</f>
        <v>SR</v>
      </c>
      <c r="C1" s="38" t="str">
        <f>'[1]CSC Wise Data'!B1</f>
        <v>State</v>
      </c>
      <c r="D1" s="39" t="str">
        <f>'[1]CSC Wise Data'!C1</f>
        <v>CSC Name</v>
      </c>
      <c r="E1" s="38" t="str">
        <f>'[1]CSC Wise Data'!E1</f>
        <v>District</v>
      </c>
      <c r="F1" s="40" t="str">
        <f>'[1]CSC Wise Data'!G1</f>
        <v xml:space="preserve">Month </v>
      </c>
      <c r="G1" s="36" t="s">
        <v>1</v>
      </c>
      <c r="H1" s="37"/>
      <c r="I1" s="41"/>
      <c r="J1" s="42" t="s">
        <v>2</v>
      </c>
      <c r="K1" s="37"/>
      <c r="L1" s="41"/>
      <c r="M1" s="42" t="s">
        <v>3</v>
      </c>
      <c r="N1" s="37"/>
      <c r="O1" s="37"/>
      <c r="P1" s="37"/>
      <c r="Q1" s="37"/>
      <c r="R1" s="41"/>
      <c r="S1" s="42" t="s">
        <v>4</v>
      </c>
      <c r="T1" s="37"/>
      <c r="U1" s="41"/>
      <c r="V1" s="42" t="s">
        <v>5</v>
      </c>
      <c r="W1" s="37"/>
      <c r="X1" s="41"/>
      <c r="Y1" s="42" t="s">
        <v>6</v>
      </c>
      <c r="Z1" s="37"/>
      <c r="AA1" s="41"/>
      <c r="AB1" s="42" t="s">
        <v>7</v>
      </c>
      <c r="AC1" s="37"/>
      <c r="AD1" s="41"/>
      <c r="AE1" s="42" t="s">
        <v>8</v>
      </c>
      <c r="AF1" s="37"/>
      <c r="AG1" s="41"/>
      <c r="AH1" s="42" t="s">
        <v>9</v>
      </c>
      <c r="AI1" s="37"/>
      <c r="AJ1" s="41"/>
      <c r="AK1" s="42" t="s">
        <v>10</v>
      </c>
      <c r="AL1" s="37"/>
      <c r="AM1" s="41"/>
      <c r="AN1" s="36" t="s">
        <v>11</v>
      </c>
      <c r="AO1" s="37"/>
      <c r="AP1" s="37"/>
      <c r="AQ1" s="37"/>
      <c r="AR1" s="37"/>
      <c r="AS1" s="37"/>
      <c r="AT1" s="37"/>
      <c r="AU1" s="37"/>
      <c r="AV1" s="41"/>
      <c r="AW1" s="43"/>
      <c r="AX1" s="43"/>
      <c r="AY1" s="43"/>
      <c r="AZ1" s="42" t="s">
        <v>12</v>
      </c>
      <c r="BA1" s="37"/>
      <c r="BB1" s="41"/>
      <c r="BC1" s="42" t="s">
        <v>13</v>
      </c>
      <c r="BD1" s="37"/>
      <c r="BE1" s="41"/>
      <c r="BF1" s="42" t="s">
        <v>14</v>
      </c>
      <c r="BG1" s="37"/>
      <c r="BH1" s="41"/>
      <c r="BI1" s="42" t="s">
        <v>15</v>
      </c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41"/>
      <c r="BU1" s="42" t="s">
        <v>16</v>
      </c>
      <c r="BV1" s="37"/>
      <c r="BW1" s="41"/>
      <c r="BX1" s="42" t="s">
        <v>17</v>
      </c>
      <c r="BY1" s="37"/>
      <c r="BZ1" s="41"/>
      <c r="CA1" s="42" t="s">
        <v>18</v>
      </c>
      <c r="CB1" s="37"/>
      <c r="CC1" s="41"/>
      <c r="CD1" s="42" t="s">
        <v>19</v>
      </c>
      <c r="CE1" s="37"/>
      <c r="CF1" s="41"/>
    </row>
    <row r="2" spans="1:84" s="6" customFormat="1" ht="39" customHeight="1" x14ac:dyDescent="0.25">
      <c r="A2" s="45"/>
      <c r="B2" s="46"/>
      <c r="C2" s="47"/>
      <c r="D2" s="48"/>
      <c r="E2" s="47"/>
      <c r="F2" s="49"/>
      <c r="G2" s="27" t="s">
        <v>20</v>
      </c>
      <c r="H2" s="50" t="s">
        <v>21</v>
      </c>
      <c r="I2" s="51" t="s">
        <v>22</v>
      </c>
      <c r="J2" s="52" t="s">
        <v>23</v>
      </c>
      <c r="K2" s="50" t="s">
        <v>24</v>
      </c>
      <c r="L2" s="51" t="s">
        <v>25</v>
      </c>
      <c r="M2" s="52" t="s">
        <v>26</v>
      </c>
      <c r="N2" s="50" t="s">
        <v>27</v>
      </c>
      <c r="O2" s="53" t="s">
        <v>25</v>
      </c>
      <c r="P2" s="50" t="s">
        <v>28</v>
      </c>
      <c r="Q2" s="50" t="s">
        <v>29</v>
      </c>
      <c r="R2" s="54" t="s">
        <v>25</v>
      </c>
      <c r="S2" s="52" t="s">
        <v>30</v>
      </c>
      <c r="T2" s="50" t="s">
        <v>24</v>
      </c>
      <c r="U2" s="54" t="s">
        <v>25</v>
      </c>
      <c r="V2" s="52" t="s">
        <v>31</v>
      </c>
      <c r="W2" s="50" t="s">
        <v>32</v>
      </c>
      <c r="X2" s="54" t="s">
        <v>25</v>
      </c>
      <c r="Y2" s="52" t="s">
        <v>33</v>
      </c>
      <c r="Z2" s="50" t="s">
        <v>34</v>
      </c>
      <c r="AA2" s="54" t="s">
        <v>35</v>
      </c>
      <c r="AB2" s="52" t="s">
        <v>36</v>
      </c>
      <c r="AC2" s="50" t="s">
        <v>37</v>
      </c>
      <c r="AD2" s="54" t="s">
        <v>38</v>
      </c>
      <c r="AE2" s="52" t="s">
        <v>39</v>
      </c>
      <c r="AF2" s="50" t="s">
        <v>40</v>
      </c>
      <c r="AG2" s="54" t="s">
        <v>41</v>
      </c>
      <c r="AH2" s="52" t="s">
        <v>42</v>
      </c>
      <c r="AI2" s="50" t="s">
        <v>43</v>
      </c>
      <c r="AJ2" s="54" t="s">
        <v>41</v>
      </c>
      <c r="AK2" s="52" t="s">
        <v>44</v>
      </c>
      <c r="AL2" s="50" t="s">
        <v>45</v>
      </c>
      <c r="AM2" s="54" t="s">
        <v>41</v>
      </c>
      <c r="AN2" s="27" t="s">
        <v>46</v>
      </c>
      <c r="AO2" s="50" t="s">
        <v>47</v>
      </c>
      <c r="AP2" s="53" t="s">
        <v>48</v>
      </c>
      <c r="AQ2" s="50" t="s">
        <v>49</v>
      </c>
      <c r="AR2" s="50" t="s">
        <v>50</v>
      </c>
      <c r="AS2" s="53" t="s">
        <v>48</v>
      </c>
      <c r="AT2" s="50" t="s">
        <v>51</v>
      </c>
      <c r="AU2" s="50" t="s">
        <v>52</v>
      </c>
      <c r="AV2" s="54" t="s">
        <v>48</v>
      </c>
      <c r="AW2" s="50" t="s">
        <v>86</v>
      </c>
      <c r="AX2" s="50" t="s">
        <v>87</v>
      </c>
      <c r="AY2" s="54" t="s">
        <v>48</v>
      </c>
      <c r="AZ2" s="52" t="s">
        <v>53</v>
      </c>
      <c r="BA2" s="50" t="s">
        <v>54</v>
      </c>
      <c r="BB2" s="54" t="s">
        <v>48</v>
      </c>
      <c r="BC2" s="52" t="s">
        <v>55</v>
      </c>
      <c r="BD2" s="50" t="s">
        <v>56</v>
      </c>
      <c r="BE2" s="54" t="s">
        <v>57</v>
      </c>
      <c r="BF2" s="52" t="s">
        <v>58</v>
      </c>
      <c r="BG2" s="50" t="s">
        <v>59</v>
      </c>
      <c r="BH2" s="54" t="s">
        <v>60</v>
      </c>
      <c r="BI2" s="52" t="s">
        <v>61</v>
      </c>
      <c r="BJ2" s="50" t="s">
        <v>62</v>
      </c>
      <c r="BK2" s="53" t="s">
        <v>63</v>
      </c>
      <c r="BL2" s="50" t="s">
        <v>64</v>
      </c>
      <c r="BM2" s="50" t="s">
        <v>62</v>
      </c>
      <c r="BN2" s="53" t="s">
        <v>63</v>
      </c>
      <c r="BO2" s="50" t="s">
        <v>65</v>
      </c>
      <c r="BP2" s="50" t="s">
        <v>62</v>
      </c>
      <c r="BQ2" s="53" t="s">
        <v>63</v>
      </c>
      <c r="BR2" s="50" t="s">
        <v>66</v>
      </c>
      <c r="BS2" s="50" t="s">
        <v>62</v>
      </c>
      <c r="BT2" s="54" t="s">
        <v>63</v>
      </c>
      <c r="BU2" s="52" t="s">
        <v>67</v>
      </c>
      <c r="BV2" s="50" t="s">
        <v>68</v>
      </c>
      <c r="BW2" s="54" t="s">
        <v>69</v>
      </c>
      <c r="BX2" s="52" t="s">
        <v>70</v>
      </c>
      <c r="BY2" s="50" t="s">
        <v>71</v>
      </c>
      <c r="BZ2" s="54" t="s">
        <v>72</v>
      </c>
      <c r="CA2" s="52" t="s">
        <v>73</v>
      </c>
      <c r="CB2" s="50" t="s">
        <v>74</v>
      </c>
      <c r="CC2" s="54" t="s">
        <v>75</v>
      </c>
      <c r="CD2" s="52" t="s">
        <v>76</v>
      </c>
      <c r="CE2" s="50" t="s">
        <v>77</v>
      </c>
      <c r="CF2" s="54" t="s">
        <v>78</v>
      </c>
    </row>
    <row r="3" spans="1:84" s="6" customFormat="1" ht="24" x14ac:dyDescent="0.25">
      <c r="A3" s="22">
        <v>1</v>
      </c>
      <c r="B3" s="23" t="s">
        <v>83</v>
      </c>
      <c r="C3" s="24" t="s">
        <v>84</v>
      </c>
      <c r="D3" s="24">
        <v>27</v>
      </c>
      <c r="E3" s="25"/>
      <c r="F3" s="26" t="str">
        <f>F7</f>
        <v>Apr-Dec'25</v>
      </c>
      <c r="G3" s="27">
        <f>SUMIF($B$7:$B$82,"CHRI",G7:G82)</f>
        <v>14326</v>
      </c>
      <c r="H3" s="27">
        <f t="shared" ref="H3:BS3" si="0">SUMIF($B$7:$B$82,"CHRI",H7:H82)</f>
        <v>14147</v>
      </c>
      <c r="I3" s="28">
        <f>H3/G3</f>
        <v>0.98750523523663269</v>
      </c>
      <c r="J3" s="27">
        <f t="shared" si="0"/>
        <v>6005</v>
      </c>
      <c r="K3" s="27">
        <f t="shared" si="0"/>
        <v>5430</v>
      </c>
      <c r="L3" s="29">
        <f>K3/J3</f>
        <v>0.90424646128226482</v>
      </c>
      <c r="M3" s="27">
        <f t="shared" si="0"/>
        <v>13144</v>
      </c>
      <c r="N3" s="27">
        <f t="shared" si="0"/>
        <v>12582</v>
      </c>
      <c r="O3" s="30">
        <f>N3/M3</f>
        <v>0.95724284844796104</v>
      </c>
      <c r="P3" s="27">
        <f t="shared" si="0"/>
        <v>10445</v>
      </c>
      <c r="Q3" s="27">
        <f t="shared" si="0"/>
        <v>8884</v>
      </c>
      <c r="R3" s="30">
        <f>Q3/P3</f>
        <v>0.85055050263283871</v>
      </c>
      <c r="S3" s="27">
        <f t="shared" si="0"/>
        <v>64690</v>
      </c>
      <c r="T3" s="27">
        <f t="shared" si="0"/>
        <v>47340</v>
      </c>
      <c r="U3" s="30">
        <f>T3/S3</f>
        <v>0.73179780491575208</v>
      </c>
      <c r="V3" s="27">
        <f t="shared" si="0"/>
        <v>28993</v>
      </c>
      <c r="W3" s="27">
        <f t="shared" si="0"/>
        <v>14690</v>
      </c>
      <c r="X3" s="30">
        <f>W3/V3</f>
        <v>0.50667402476459833</v>
      </c>
      <c r="Y3" s="27">
        <f t="shared" si="0"/>
        <v>3965</v>
      </c>
      <c r="Z3" s="27">
        <f t="shared" si="0"/>
        <v>2967</v>
      </c>
      <c r="AA3" s="30">
        <f>Z3/Y3</f>
        <v>0.74829760403530898</v>
      </c>
      <c r="AB3" s="27">
        <f t="shared" si="0"/>
        <v>2910</v>
      </c>
      <c r="AC3" s="27">
        <f t="shared" si="0"/>
        <v>1203</v>
      </c>
      <c r="AD3" s="30">
        <f>AC3/AB3</f>
        <v>0.41340206185567008</v>
      </c>
      <c r="AE3" s="27">
        <f t="shared" si="0"/>
        <v>45771</v>
      </c>
      <c r="AF3" s="27">
        <f t="shared" si="0"/>
        <v>36742</v>
      </c>
      <c r="AG3" s="30">
        <f>AF3/AE3</f>
        <v>0.80273535644840621</v>
      </c>
      <c r="AH3" s="27">
        <f t="shared" si="0"/>
        <v>51</v>
      </c>
      <c r="AI3" s="27">
        <f t="shared" si="0"/>
        <v>15</v>
      </c>
      <c r="AJ3" s="30">
        <f>AI3/AH3</f>
        <v>0.29411764705882354</v>
      </c>
      <c r="AK3" s="27">
        <f t="shared" si="0"/>
        <v>4992</v>
      </c>
      <c r="AL3" s="27">
        <f t="shared" si="0"/>
        <v>1965</v>
      </c>
      <c r="AM3" s="30">
        <f>AL3/AK3</f>
        <v>0.39362980769230771</v>
      </c>
      <c r="AN3" s="27">
        <f t="shared" si="0"/>
        <v>4989</v>
      </c>
      <c r="AO3" s="27">
        <f t="shared" si="0"/>
        <v>4630</v>
      </c>
      <c r="AP3" s="30">
        <f>AO3/AN3</f>
        <v>0.92804169172178796</v>
      </c>
      <c r="AQ3" s="27">
        <f t="shared" si="0"/>
        <v>226</v>
      </c>
      <c r="AR3" s="27">
        <f t="shared" si="0"/>
        <v>79</v>
      </c>
      <c r="AS3" s="30">
        <f>AR3/AQ3</f>
        <v>0.34955752212389379</v>
      </c>
      <c r="AT3" s="27">
        <f t="shared" si="0"/>
        <v>3629</v>
      </c>
      <c r="AU3" s="27">
        <f t="shared" si="0"/>
        <v>3350</v>
      </c>
      <c r="AV3" s="30">
        <f>AU3/AT3</f>
        <v>0.92311931661614766</v>
      </c>
      <c r="AW3" s="31">
        <f>AN3+AQ3+AT3</f>
        <v>8844</v>
      </c>
      <c r="AX3" s="31">
        <f>AO3+AR3+AU3</f>
        <v>8059</v>
      </c>
      <c r="AY3" s="30">
        <f>AX3/AW3</f>
        <v>0.91123925825418362</v>
      </c>
      <c r="AZ3" s="27">
        <f t="shared" si="0"/>
        <v>5721</v>
      </c>
      <c r="BA3" s="27">
        <f t="shared" si="0"/>
        <v>2751</v>
      </c>
      <c r="BB3" s="27">
        <f t="shared" si="0"/>
        <v>19.920498402509875</v>
      </c>
      <c r="BC3" s="27">
        <f t="shared" si="0"/>
        <v>419</v>
      </c>
      <c r="BD3" s="27">
        <f t="shared" si="0"/>
        <v>485</v>
      </c>
      <c r="BE3" s="27">
        <f t="shared" si="0"/>
        <v>26.658279714296544</v>
      </c>
      <c r="BF3" s="27">
        <f t="shared" si="0"/>
        <v>880</v>
      </c>
      <c r="BG3" s="27">
        <f t="shared" si="0"/>
        <v>805</v>
      </c>
      <c r="BH3" s="27">
        <f t="shared" si="0"/>
        <v>23.936413482650938</v>
      </c>
      <c r="BI3" s="27">
        <f t="shared" si="0"/>
        <v>1078</v>
      </c>
      <c r="BJ3" s="27">
        <f t="shared" si="0"/>
        <v>1023</v>
      </c>
      <c r="BK3" s="27">
        <f t="shared" si="0"/>
        <v>25.771105862564092</v>
      </c>
      <c r="BL3" s="27">
        <f t="shared" si="0"/>
        <v>756</v>
      </c>
      <c r="BM3" s="27">
        <f t="shared" si="0"/>
        <v>666</v>
      </c>
      <c r="BN3" s="27">
        <f t="shared" si="0"/>
        <v>22.054933358971471</v>
      </c>
      <c r="BO3" s="27">
        <f t="shared" si="0"/>
        <v>616</v>
      </c>
      <c r="BP3" s="27">
        <f t="shared" si="0"/>
        <v>537</v>
      </c>
      <c r="BQ3" s="27">
        <f t="shared" si="0"/>
        <v>23.467625215670143</v>
      </c>
      <c r="BR3" s="27">
        <f t="shared" si="0"/>
        <v>693</v>
      </c>
      <c r="BS3" s="27">
        <f t="shared" si="0"/>
        <v>609</v>
      </c>
      <c r="BT3" s="27">
        <f t="shared" ref="BT3:CF3" si="1">SUMIF($B$7:$B$82,"CHRI",BT7:BT82)</f>
        <v>21.299159947928771</v>
      </c>
      <c r="BU3" s="27">
        <f t="shared" si="1"/>
        <v>11</v>
      </c>
      <c r="BV3" s="27">
        <f t="shared" si="1"/>
        <v>10</v>
      </c>
      <c r="BW3" s="27">
        <f t="shared" si="1"/>
        <v>7</v>
      </c>
      <c r="BX3" s="27">
        <f t="shared" si="1"/>
        <v>14147</v>
      </c>
      <c r="BY3" s="27">
        <f t="shared" si="1"/>
        <v>15751</v>
      </c>
      <c r="BZ3" s="27">
        <f t="shared" si="1"/>
        <v>30.563270800167096</v>
      </c>
      <c r="CA3" s="27">
        <f t="shared" si="1"/>
        <v>1530</v>
      </c>
      <c r="CB3" s="27">
        <f t="shared" si="1"/>
        <v>1515</v>
      </c>
      <c r="CC3" s="27">
        <f t="shared" si="1"/>
        <v>29.117782426690979</v>
      </c>
      <c r="CD3" s="27">
        <f t="shared" si="1"/>
        <v>269</v>
      </c>
      <c r="CE3" s="27">
        <f t="shared" si="1"/>
        <v>301</v>
      </c>
      <c r="CF3" s="27">
        <f t="shared" si="1"/>
        <v>9.8315789473684205</v>
      </c>
    </row>
    <row r="4" spans="1:84" s="6" customFormat="1" ht="12" x14ac:dyDescent="0.25">
      <c r="A4" s="22">
        <v>2</v>
      </c>
      <c r="B4" s="23" t="s">
        <v>81</v>
      </c>
      <c r="C4" s="25" t="s">
        <v>82</v>
      </c>
      <c r="D4" s="24">
        <v>23</v>
      </c>
      <c r="E4" s="25"/>
      <c r="F4" s="26" t="str">
        <f>F8</f>
        <v>Apr-Dec'25</v>
      </c>
      <c r="G4" s="27">
        <f>SUMIF($B$7:$B$82,"YRG Care",G7:G82)</f>
        <v>8517</v>
      </c>
      <c r="H4" s="27">
        <f t="shared" ref="H4:BS4" si="2">SUMIF($B$7:$B$82,"YRG Care",H7:H82)</f>
        <v>7360</v>
      </c>
      <c r="I4" s="28">
        <f t="shared" ref="I4:I6" si="3">H4/G4</f>
        <v>0.86415404485147351</v>
      </c>
      <c r="J4" s="27">
        <f t="shared" si="2"/>
        <v>182</v>
      </c>
      <c r="K4" s="27">
        <f t="shared" si="2"/>
        <v>72</v>
      </c>
      <c r="L4" s="29">
        <f t="shared" ref="L4:L6" si="4">K4/J4</f>
        <v>0.39560439560439559</v>
      </c>
      <c r="M4" s="27">
        <f t="shared" si="2"/>
        <v>7772</v>
      </c>
      <c r="N4" s="27">
        <f t="shared" si="2"/>
        <v>7596</v>
      </c>
      <c r="O4" s="30">
        <f t="shared" ref="O4:O6" si="5">N4/M4</f>
        <v>0.9773546062789501</v>
      </c>
      <c r="P4" s="27">
        <f t="shared" si="2"/>
        <v>6708</v>
      </c>
      <c r="Q4" s="27">
        <f t="shared" si="2"/>
        <v>5674</v>
      </c>
      <c r="R4" s="30">
        <f t="shared" ref="R4:R6" si="6">Q4/P4</f>
        <v>0.845855694692904</v>
      </c>
      <c r="S4" s="27">
        <f t="shared" si="2"/>
        <v>44142</v>
      </c>
      <c r="T4" s="27">
        <f t="shared" si="2"/>
        <v>33612</v>
      </c>
      <c r="U4" s="30">
        <f t="shared" ref="U4:U6" si="7">T4/S4</f>
        <v>0.76145167867337227</v>
      </c>
      <c r="V4" s="27">
        <f t="shared" si="2"/>
        <v>18257</v>
      </c>
      <c r="W4" s="27">
        <f t="shared" si="2"/>
        <v>12727</v>
      </c>
      <c r="X4" s="30">
        <f t="shared" ref="X4:X6" si="8">W4/V4</f>
        <v>0.69710248124007235</v>
      </c>
      <c r="Y4" s="27">
        <f t="shared" si="2"/>
        <v>3612</v>
      </c>
      <c r="Z4" s="27">
        <f t="shared" si="2"/>
        <v>3416</v>
      </c>
      <c r="AA4" s="30">
        <f t="shared" ref="AA4:AA6" si="9">Z4/Y4</f>
        <v>0.94573643410852715</v>
      </c>
      <c r="AB4" s="27">
        <f t="shared" si="2"/>
        <v>2649</v>
      </c>
      <c r="AC4" s="27">
        <f t="shared" si="2"/>
        <v>1038</v>
      </c>
      <c r="AD4" s="30">
        <f t="shared" ref="AD4:AD6" si="10">AC4/AB4</f>
        <v>0.39184597961494905</v>
      </c>
      <c r="AE4" s="27">
        <f t="shared" si="2"/>
        <v>19554</v>
      </c>
      <c r="AF4" s="27">
        <f t="shared" si="2"/>
        <v>14870</v>
      </c>
      <c r="AG4" s="30">
        <f t="shared" ref="AG4:AG6" si="11">AF4/AE4</f>
        <v>0.76045821826736215</v>
      </c>
      <c r="AH4" s="27">
        <f t="shared" si="2"/>
        <v>215</v>
      </c>
      <c r="AI4" s="27">
        <f t="shared" si="2"/>
        <v>183</v>
      </c>
      <c r="AJ4" s="30">
        <f t="shared" ref="AJ4:AJ6" si="12">AI4/AH4</f>
        <v>0.85116279069767442</v>
      </c>
      <c r="AK4" s="27">
        <f t="shared" si="2"/>
        <v>3798</v>
      </c>
      <c r="AL4" s="27">
        <f t="shared" si="2"/>
        <v>1967</v>
      </c>
      <c r="AM4" s="30">
        <f t="shared" ref="AM4:AM6" si="13">AL4/AK4</f>
        <v>0.51790416008425488</v>
      </c>
      <c r="AN4" s="27">
        <f t="shared" si="2"/>
        <v>1171</v>
      </c>
      <c r="AO4" s="27">
        <f t="shared" si="2"/>
        <v>670</v>
      </c>
      <c r="AP4" s="30">
        <f t="shared" ref="AP4:AP6" si="14">AO4/AN4</f>
        <v>0.57216054654141757</v>
      </c>
      <c r="AQ4" s="27">
        <f t="shared" si="2"/>
        <v>121</v>
      </c>
      <c r="AR4" s="27">
        <f t="shared" si="2"/>
        <v>70</v>
      </c>
      <c r="AS4" s="30">
        <f t="shared" ref="AS4:AS6" si="15">AR4/AQ4</f>
        <v>0.57851239669421484</v>
      </c>
      <c r="AT4" s="27">
        <f t="shared" si="2"/>
        <v>871</v>
      </c>
      <c r="AU4" s="27">
        <f t="shared" si="2"/>
        <v>500</v>
      </c>
      <c r="AV4" s="30">
        <f t="shared" ref="AV4:AV6" si="16">AU4/AT4</f>
        <v>0.57405281285878296</v>
      </c>
      <c r="AW4" s="31">
        <f t="shared" ref="AW4:AW6" si="17">AN4+AQ4+AT4</f>
        <v>2163</v>
      </c>
      <c r="AX4" s="31">
        <f t="shared" ref="AX4:AX6" si="18">AO4+AR4+AU4</f>
        <v>1240</v>
      </c>
      <c r="AY4" s="30">
        <f t="shared" ref="AY4:AY6" si="19">AX4/AW4</f>
        <v>0.57327785483125293</v>
      </c>
      <c r="AZ4" s="27">
        <f t="shared" si="2"/>
        <v>638</v>
      </c>
      <c r="BA4" s="27">
        <f t="shared" si="2"/>
        <v>834</v>
      </c>
      <c r="BB4" s="27">
        <f t="shared" si="2"/>
        <v>25.810423947080984</v>
      </c>
      <c r="BC4" s="27">
        <f t="shared" si="2"/>
        <v>77</v>
      </c>
      <c r="BD4" s="27">
        <f t="shared" si="2"/>
        <v>45</v>
      </c>
      <c r="BE4" s="27">
        <f t="shared" si="2"/>
        <v>9.1622807017543852</v>
      </c>
      <c r="BF4" s="27">
        <f t="shared" si="2"/>
        <v>110</v>
      </c>
      <c r="BG4" s="27">
        <f t="shared" si="2"/>
        <v>99</v>
      </c>
      <c r="BH4" s="27">
        <f t="shared" si="2"/>
        <v>15.062759462759463</v>
      </c>
      <c r="BI4" s="27">
        <f t="shared" si="2"/>
        <v>113</v>
      </c>
      <c r="BJ4" s="27">
        <f t="shared" si="2"/>
        <v>96</v>
      </c>
      <c r="BK4" s="27">
        <f t="shared" si="2"/>
        <v>9.7728383458646615</v>
      </c>
      <c r="BL4" s="27">
        <f t="shared" si="2"/>
        <v>101</v>
      </c>
      <c r="BM4" s="27">
        <f t="shared" si="2"/>
        <v>85</v>
      </c>
      <c r="BN4" s="27">
        <f t="shared" si="2"/>
        <v>9.8219308469308473</v>
      </c>
      <c r="BO4" s="27">
        <f t="shared" si="2"/>
        <v>87</v>
      </c>
      <c r="BP4" s="27">
        <f t="shared" si="2"/>
        <v>78</v>
      </c>
      <c r="BQ4" s="27">
        <f t="shared" si="2"/>
        <v>7.2534391534391522</v>
      </c>
      <c r="BR4" s="27">
        <f t="shared" si="2"/>
        <v>60</v>
      </c>
      <c r="BS4" s="27">
        <f t="shared" si="2"/>
        <v>53</v>
      </c>
      <c r="BT4" s="27">
        <f t="shared" ref="BT4:CF4" si="20">SUMIF($B$7:$B$82,"YRG Care",BT7:BT82)</f>
        <v>7.6226190476190476</v>
      </c>
      <c r="BU4" s="27">
        <f t="shared" si="20"/>
        <v>1</v>
      </c>
      <c r="BV4" s="27">
        <f t="shared" si="20"/>
        <v>1</v>
      </c>
      <c r="BW4" s="27">
        <f t="shared" si="20"/>
        <v>1</v>
      </c>
      <c r="BX4" s="27">
        <f t="shared" si="20"/>
        <v>7360</v>
      </c>
      <c r="BY4" s="27">
        <f t="shared" si="20"/>
        <v>7624</v>
      </c>
      <c r="BZ4" s="27">
        <f t="shared" si="20"/>
        <v>24.416507393890942</v>
      </c>
      <c r="CA4" s="27">
        <f t="shared" si="20"/>
        <v>1214</v>
      </c>
      <c r="CB4" s="27">
        <f t="shared" si="20"/>
        <v>1205</v>
      </c>
      <c r="CC4" s="27">
        <f t="shared" si="20"/>
        <v>23.415219776223154</v>
      </c>
      <c r="CD4" s="27">
        <f t="shared" si="20"/>
        <v>337</v>
      </c>
      <c r="CE4" s="27">
        <f t="shared" si="20"/>
        <v>272</v>
      </c>
      <c r="CF4" s="27">
        <f t="shared" si="20"/>
        <v>2.7563636363636363</v>
      </c>
    </row>
    <row r="5" spans="1:84" s="6" customFormat="1" ht="12" x14ac:dyDescent="0.25">
      <c r="A5" s="22">
        <v>3</v>
      </c>
      <c r="B5" s="23" t="s">
        <v>79</v>
      </c>
      <c r="C5" s="24" t="s">
        <v>80</v>
      </c>
      <c r="D5" s="24">
        <v>24</v>
      </c>
      <c r="E5" s="25"/>
      <c r="F5" s="26" t="str">
        <f>F9</f>
        <v>Apr-Dec'25</v>
      </c>
      <c r="G5" s="27">
        <f>SUMIF($B$7:$B$82,"UPNP+",G7:G82)</f>
        <v>14225</v>
      </c>
      <c r="H5" s="27">
        <f t="shared" ref="H5:BS5" si="21">SUMIF($B$7:$B$82,"UPNP+",H7:H82)</f>
        <v>12101</v>
      </c>
      <c r="I5" s="28">
        <f t="shared" si="3"/>
        <v>0.85068541300527245</v>
      </c>
      <c r="J5" s="27">
        <f t="shared" si="21"/>
        <v>223</v>
      </c>
      <c r="K5" s="27">
        <f t="shared" si="21"/>
        <v>159</v>
      </c>
      <c r="L5" s="29">
        <f t="shared" si="4"/>
        <v>0.71300448430493268</v>
      </c>
      <c r="M5" s="27">
        <f t="shared" si="21"/>
        <v>12808</v>
      </c>
      <c r="N5" s="27">
        <f t="shared" si="21"/>
        <v>12808</v>
      </c>
      <c r="O5" s="30">
        <f t="shared" si="5"/>
        <v>1</v>
      </c>
      <c r="P5" s="27">
        <f t="shared" si="21"/>
        <v>10676</v>
      </c>
      <c r="Q5" s="27">
        <f t="shared" si="21"/>
        <v>8958</v>
      </c>
      <c r="R5" s="30">
        <f t="shared" si="6"/>
        <v>0.83907830648182835</v>
      </c>
      <c r="S5" s="27">
        <f t="shared" si="21"/>
        <v>56355</v>
      </c>
      <c r="T5" s="27">
        <f t="shared" si="21"/>
        <v>45790</v>
      </c>
      <c r="U5" s="30">
        <f t="shared" si="7"/>
        <v>0.81252772602253576</v>
      </c>
      <c r="V5" s="27">
        <f t="shared" si="21"/>
        <v>18100</v>
      </c>
      <c r="W5" s="27">
        <f t="shared" si="21"/>
        <v>13046</v>
      </c>
      <c r="X5" s="30">
        <f t="shared" si="8"/>
        <v>0.72077348066298341</v>
      </c>
      <c r="Y5" s="27">
        <f t="shared" si="21"/>
        <v>5347</v>
      </c>
      <c r="Z5" s="27">
        <f t="shared" si="21"/>
        <v>5346</v>
      </c>
      <c r="AA5" s="30">
        <f t="shared" si="9"/>
        <v>0.99981297924069568</v>
      </c>
      <c r="AB5" s="27">
        <f t="shared" si="21"/>
        <v>5281</v>
      </c>
      <c r="AC5" s="27">
        <f t="shared" si="21"/>
        <v>3844</v>
      </c>
      <c r="AD5" s="30">
        <f t="shared" si="10"/>
        <v>0.7278924446127627</v>
      </c>
      <c r="AE5" s="27">
        <f t="shared" si="21"/>
        <v>23183</v>
      </c>
      <c r="AF5" s="27">
        <f t="shared" si="21"/>
        <v>19858</v>
      </c>
      <c r="AG5" s="30">
        <f t="shared" si="11"/>
        <v>0.8565759392658413</v>
      </c>
      <c r="AH5" s="27">
        <f t="shared" si="21"/>
        <v>228</v>
      </c>
      <c r="AI5" s="27">
        <f t="shared" si="21"/>
        <v>209</v>
      </c>
      <c r="AJ5" s="30">
        <f t="shared" si="12"/>
        <v>0.91666666666666663</v>
      </c>
      <c r="AK5" s="27">
        <f t="shared" si="21"/>
        <v>2555</v>
      </c>
      <c r="AL5" s="27">
        <f t="shared" si="21"/>
        <v>2152</v>
      </c>
      <c r="AM5" s="30">
        <f t="shared" si="13"/>
        <v>0.84227005870841487</v>
      </c>
      <c r="AN5" s="27">
        <f t="shared" si="21"/>
        <v>2288</v>
      </c>
      <c r="AO5" s="27">
        <f t="shared" si="21"/>
        <v>2043</v>
      </c>
      <c r="AP5" s="30">
        <f t="shared" si="14"/>
        <v>0.89291958041958042</v>
      </c>
      <c r="AQ5" s="27">
        <f t="shared" si="21"/>
        <v>32</v>
      </c>
      <c r="AR5" s="27">
        <f t="shared" si="21"/>
        <v>31</v>
      </c>
      <c r="AS5" s="30">
        <f t="shared" si="15"/>
        <v>0.96875</v>
      </c>
      <c r="AT5" s="27">
        <f t="shared" si="21"/>
        <v>2163</v>
      </c>
      <c r="AU5" s="27">
        <f t="shared" si="21"/>
        <v>1951</v>
      </c>
      <c r="AV5" s="30">
        <f t="shared" si="16"/>
        <v>0.90198797965788258</v>
      </c>
      <c r="AW5" s="31">
        <f t="shared" si="17"/>
        <v>4483</v>
      </c>
      <c r="AX5" s="31">
        <f t="shared" si="18"/>
        <v>4025</v>
      </c>
      <c r="AY5" s="30">
        <f t="shared" si="19"/>
        <v>0.89783627035467317</v>
      </c>
      <c r="AZ5" s="27">
        <f t="shared" si="21"/>
        <v>1806</v>
      </c>
      <c r="BA5" s="27">
        <f t="shared" si="21"/>
        <v>4210</v>
      </c>
      <c r="BB5" s="27">
        <f t="shared" si="21"/>
        <v>100.30074661291879</v>
      </c>
      <c r="BC5" s="27">
        <f t="shared" si="21"/>
        <v>604</v>
      </c>
      <c r="BD5" s="27">
        <f t="shared" si="21"/>
        <v>604</v>
      </c>
      <c r="BE5" s="27">
        <f t="shared" si="21"/>
        <v>27</v>
      </c>
      <c r="BF5" s="27">
        <f t="shared" si="21"/>
        <v>788</v>
      </c>
      <c r="BG5" s="27">
        <f t="shared" si="21"/>
        <v>771</v>
      </c>
      <c r="BH5" s="27">
        <f t="shared" si="21"/>
        <v>26.285278828084945</v>
      </c>
      <c r="BI5" s="27">
        <f t="shared" si="21"/>
        <v>403</v>
      </c>
      <c r="BJ5" s="27">
        <f t="shared" si="21"/>
        <v>390</v>
      </c>
      <c r="BK5" s="27">
        <f t="shared" si="21"/>
        <v>25.063371602821729</v>
      </c>
      <c r="BL5" s="27">
        <f t="shared" si="21"/>
        <v>351</v>
      </c>
      <c r="BM5" s="27">
        <f t="shared" si="21"/>
        <v>337</v>
      </c>
      <c r="BN5" s="27">
        <f t="shared" si="21"/>
        <v>26.014563214563214</v>
      </c>
      <c r="BO5" s="27">
        <f t="shared" si="21"/>
        <v>336</v>
      </c>
      <c r="BP5" s="27">
        <f t="shared" si="21"/>
        <v>286</v>
      </c>
      <c r="BQ5" s="27">
        <f t="shared" si="21"/>
        <v>22.794957089693931</v>
      </c>
      <c r="BR5" s="27">
        <f t="shared" si="21"/>
        <v>319</v>
      </c>
      <c r="BS5" s="27">
        <f t="shared" si="21"/>
        <v>284</v>
      </c>
      <c r="BT5" s="27">
        <f t="shared" ref="BT5:CF5" si="22">SUMIF($B$7:$B$82,"UPNP+",BT7:BT82)</f>
        <v>23.432328965610697</v>
      </c>
      <c r="BU5" s="27">
        <f t="shared" si="22"/>
        <v>4</v>
      </c>
      <c r="BV5" s="27">
        <f t="shared" si="22"/>
        <v>4</v>
      </c>
      <c r="BW5" s="27">
        <f t="shared" si="22"/>
        <v>3</v>
      </c>
      <c r="BX5" s="27">
        <f t="shared" si="22"/>
        <v>12101</v>
      </c>
      <c r="BY5" s="27">
        <f t="shared" si="22"/>
        <v>12013</v>
      </c>
      <c r="BZ5" s="27">
        <f t="shared" si="22"/>
        <v>26.780711038788173</v>
      </c>
      <c r="CA5" s="27">
        <f t="shared" si="22"/>
        <v>9651</v>
      </c>
      <c r="CB5" s="27">
        <f t="shared" si="22"/>
        <v>9792</v>
      </c>
      <c r="CC5" s="27">
        <f t="shared" si="22"/>
        <v>26.928314535211449</v>
      </c>
      <c r="CD5" s="27">
        <f t="shared" si="22"/>
        <v>809</v>
      </c>
      <c r="CE5" s="27">
        <f t="shared" si="22"/>
        <v>806</v>
      </c>
      <c r="CF5" s="27">
        <f t="shared" si="22"/>
        <v>13.728260869565217</v>
      </c>
    </row>
    <row r="6" spans="1:84" s="6" customFormat="1" ht="12.75" thickBot="1" x14ac:dyDescent="0.3">
      <c r="A6" s="32"/>
      <c r="B6" s="33"/>
      <c r="C6" s="25" t="s">
        <v>88</v>
      </c>
      <c r="D6" s="24">
        <f>D5+D4+D3</f>
        <v>74</v>
      </c>
      <c r="E6" s="25"/>
      <c r="F6" s="26"/>
      <c r="G6" s="34">
        <f>G5+G4+G3</f>
        <v>37068</v>
      </c>
      <c r="H6" s="34">
        <f t="shared" ref="H6" si="23">H5+H4+H3</f>
        <v>33608</v>
      </c>
      <c r="I6" s="35">
        <f t="shared" si="3"/>
        <v>0.90665803388367328</v>
      </c>
      <c r="J6" s="34">
        <f t="shared" ref="J6:K6" si="24">J5+J4+J3</f>
        <v>6410</v>
      </c>
      <c r="K6" s="34">
        <f t="shared" si="24"/>
        <v>5661</v>
      </c>
      <c r="L6" s="29">
        <f t="shared" si="4"/>
        <v>0.88315132605304214</v>
      </c>
      <c r="M6" s="34">
        <f t="shared" ref="M6:N6" si="25">M5+M4+M3</f>
        <v>33724</v>
      </c>
      <c r="N6" s="34">
        <f t="shared" si="25"/>
        <v>32986</v>
      </c>
      <c r="O6" s="30">
        <f t="shared" si="5"/>
        <v>0.97811647491400788</v>
      </c>
      <c r="P6" s="34">
        <f t="shared" ref="P6:Q6" si="26">P5+P4+P3</f>
        <v>27829</v>
      </c>
      <c r="Q6" s="34">
        <f t="shared" si="26"/>
        <v>23516</v>
      </c>
      <c r="R6" s="30">
        <f t="shared" si="6"/>
        <v>0.84501778720040244</v>
      </c>
      <c r="S6" s="34">
        <f t="shared" ref="S6:T6" si="27">S5+S4+S3</f>
        <v>165187</v>
      </c>
      <c r="T6" s="34">
        <f t="shared" si="27"/>
        <v>126742</v>
      </c>
      <c r="U6" s="30">
        <f t="shared" si="7"/>
        <v>0.76726376772990612</v>
      </c>
      <c r="V6" s="34">
        <f t="shared" ref="V6:W6" si="28">V5+V4+V3</f>
        <v>65350</v>
      </c>
      <c r="W6" s="34">
        <f t="shared" si="28"/>
        <v>40463</v>
      </c>
      <c r="X6" s="30">
        <f t="shared" si="8"/>
        <v>0.61917368018362662</v>
      </c>
      <c r="Y6" s="34">
        <f t="shared" ref="Y6:Z6" si="29">Y5+Y4+Y3</f>
        <v>12924</v>
      </c>
      <c r="Z6" s="34">
        <f t="shared" si="29"/>
        <v>11729</v>
      </c>
      <c r="AA6" s="30">
        <f t="shared" si="9"/>
        <v>0.90753636645001545</v>
      </c>
      <c r="AB6" s="34">
        <f t="shared" ref="AB6:AC6" si="30">AB5+AB4+AB3</f>
        <v>10840</v>
      </c>
      <c r="AC6" s="34">
        <f t="shared" si="30"/>
        <v>6085</v>
      </c>
      <c r="AD6" s="30">
        <f t="shared" si="10"/>
        <v>0.56134686346863472</v>
      </c>
      <c r="AE6" s="34">
        <f t="shared" ref="AE6:AF6" si="31">AE5+AE4+AE3</f>
        <v>88508</v>
      </c>
      <c r="AF6" s="34">
        <f t="shared" si="31"/>
        <v>71470</v>
      </c>
      <c r="AG6" s="30">
        <f t="shared" si="11"/>
        <v>0.80749762733312247</v>
      </c>
      <c r="AH6" s="34">
        <f t="shared" ref="AH6:AI6" si="32">AH5+AH4+AH3</f>
        <v>494</v>
      </c>
      <c r="AI6" s="34">
        <f t="shared" si="32"/>
        <v>407</v>
      </c>
      <c r="AJ6" s="30">
        <f t="shared" si="12"/>
        <v>0.82388663967611331</v>
      </c>
      <c r="AK6" s="34">
        <f t="shared" ref="AK6:AL6" si="33">AK5+AK4+AK3</f>
        <v>11345</v>
      </c>
      <c r="AL6" s="34">
        <f t="shared" si="33"/>
        <v>6084</v>
      </c>
      <c r="AM6" s="30">
        <f t="shared" si="13"/>
        <v>0.53627148523578672</v>
      </c>
      <c r="AN6" s="34">
        <f t="shared" ref="AN6:AO6" si="34">AN5+AN4+AN3</f>
        <v>8448</v>
      </c>
      <c r="AO6" s="34">
        <f t="shared" si="34"/>
        <v>7343</v>
      </c>
      <c r="AP6" s="30">
        <f t="shared" si="14"/>
        <v>0.86919981060606055</v>
      </c>
      <c r="AQ6" s="34">
        <f t="shared" ref="AQ6:AR6" si="35">AQ5+AQ4+AQ3</f>
        <v>379</v>
      </c>
      <c r="AR6" s="34">
        <f t="shared" si="35"/>
        <v>180</v>
      </c>
      <c r="AS6" s="30">
        <f t="shared" si="15"/>
        <v>0.47493403693931396</v>
      </c>
      <c r="AT6" s="34">
        <f t="shared" ref="AT6:AU6" si="36">AT5+AT4+AT3</f>
        <v>6663</v>
      </c>
      <c r="AU6" s="34">
        <f t="shared" si="36"/>
        <v>5801</v>
      </c>
      <c r="AV6" s="30">
        <f t="shared" si="16"/>
        <v>0.87062884586522582</v>
      </c>
      <c r="AW6" s="31">
        <f t="shared" si="17"/>
        <v>15490</v>
      </c>
      <c r="AX6" s="31">
        <f t="shared" si="18"/>
        <v>13324</v>
      </c>
      <c r="AY6" s="30">
        <f t="shared" si="19"/>
        <v>0.86016785022595221</v>
      </c>
      <c r="AZ6" s="34">
        <f t="shared" ref="AZ6:BA6" si="37">AZ5+AZ4+AZ3</f>
        <v>8165</v>
      </c>
      <c r="BA6" s="34">
        <f t="shared" si="37"/>
        <v>7795</v>
      </c>
      <c r="BB6" s="10">
        <f t="shared" ref="BB6" si="38">IFERROR(BA6/AZ6,0)</f>
        <v>0.95468462951622779</v>
      </c>
      <c r="BC6" s="34">
        <f t="shared" ref="BC6:BD6" si="39">BC5+BC4+BC3</f>
        <v>1100</v>
      </c>
      <c r="BD6" s="34">
        <f t="shared" si="39"/>
        <v>1134</v>
      </c>
      <c r="BE6" s="10">
        <f t="shared" ref="BE6" si="40">IFERROR(BD6/BC6,0)</f>
        <v>1.030909090909091</v>
      </c>
      <c r="BF6" s="34">
        <f t="shared" ref="BF6:BG6" si="41">BF5+BF4+BF3</f>
        <v>1778</v>
      </c>
      <c r="BG6" s="34">
        <f t="shared" si="41"/>
        <v>1675</v>
      </c>
      <c r="BH6" s="10">
        <f t="shared" ref="BH6" si="42">IFERROR(BG6/BF6,0)</f>
        <v>0.94206974128233967</v>
      </c>
      <c r="BI6" s="34">
        <f t="shared" ref="BI6:BJ6" si="43">BI5+BI4+BI3</f>
        <v>1594</v>
      </c>
      <c r="BJ6" s="34">
        <f t="shared" si="43"/>
        <v>1509</v>
      </c>
      <c r="BK6" s="11">
        <f t="shared" ref="BK6" si="44">IFERROR(BJ6/BI6,0)</f>
        <v>0.94667503136762865</v>
      </c>
      <c r="BL6" s="34">
        <f t="shared" ref="BL6:BM6" si="45">BL5+BL4+BL3</f>
        <v>1208</v>
      </c>
      <c r="BM6" s="34">
        <f t="shared" si="45"/>
        <v>1088</v>
      </c>
      <c r="BN6" s="11">
        <f t="shared" ref="BN6" si="46">IFERROR(BM6/BL6,0)</f>
        <v>0.90066225165562919</v>
      </c>
      <c r="BO6" s="34">
        <f t="shared" ref="BO6:BP6" si="47">BO5+BO4+BO3</f>
        <v>1039</v>
      </c>
      <c r="BP6" s="34">
        <f t="shared" si="47"/>
        <v>901</v>
      </c>
      <c r="BQ6" s="11">
        <f t="shared" ref="BQ6" si="48">IFERROR(BP6/BO6,0)</f>
        <v>0.86717998075072189</v>
      </c>
      <c r="BR6" s="34">
        <f t="shared" ref="BR6:BS6" si="49">BR5+BR4+BR3</f>
        <v>1072</v>
      </c>
      <c r="BS6" s="34">
        <f t="shared" si="49"/>
        <v>946</v>
      </c>
      <c r="BT6" s="10">
        <f t="shared" ref="BT6" si="50">IFERROR(BS6/BR6,0)</f>
        <v>0.8824626865671642</v>
      </c>
      <c r="BU6" s="34">
        <f t="shared" ref="BU6:BV6" si="51">BU5+BU4+BU3</f>
        <v>16</v>
      </c>
      <c r="BV6" s="34">
        <f t="shared" si="51"/>
        <v>15</v>
      </c>
      <c r="BW6" s="10">
        <f t="shared" ref="BW6" si="52">IFERROR(BV6/BU6,0)</f>
        <v>0.9375</v>
      </c>
      <c r="BX6" s="34">
        <f t="shared" ref="BX6:BY6" si="53">BX5+BX4+BX3</f>
        <v>33608</v>
      </c>
      <c r="BY6" s="34">
        <f t="shared" si="53"/>
        <v>35388</v>
      </c>
      <c r="BZ6" s="10">
        <f t="shared" ref="BZ6" si="54">IFERROR(BY6/BX6,0)</f>
        <v>1.0529635800999761</v>
      </c>
      <c r="CA6" s="34">
        <f t="shared" ref="CA6:CB6" si="55">CA5+CA4+CA3</f>
        <v>12395</v>
      </c>
      <c r="CB6" s="34">
        <f t="shared" si="55"/>
        <v>12512</v>
      </c>
      <c r="CC6" s="10">
        <f t="shared" ref="CC6" si="56">IFERROR(CB6/CA6,0)</f>
        <v>1.0094392900363049</v>
      </c>
      <c r="CD6" s="34">
        <f t="shared" ref="CD6:CE6" si="57">CD5+CD4+CD3</f>
        <v>1415</v>
      </c>
      <c r="CE6" s="34">
        <f t="shared" si="57"/>
        <v>1379</v>
      </c>
      <c r="CF6" s="10">
        <f t="shared" ref="CF6" si="58">IFERROR(CE6/CD6,0)</f>
        <v>0.97455830388692577</v>
      </c>
    </row>
    <row r="7" spans="1:84" ht="48" x14ac:dyDescent="0.25">
      <c r="A7" s="12">
        <f>'[2]Oct-Dec''25'!A7</f>
        <v>1</v>
      </c>
      <c r="B7" s="12" t="str">
        <f>'[2]Oct-Dec''25'!B7</f>
        <v>CHRI</v>
      </c>
      <c r="C7" s="1" t="str">
        <f>'[2]Oct-Dec''25'!C7</f>
        <v>Arunachal Pradesh</v>
      </c>
      <c r="D7" s="3" t="str">
        <f>'[2]Oct-Dec''25'!D7</f>
        <v>ASSAM NETWORK OF POSITIVE PEOPLE(ANP+), DIBRUGARH</v>
      </c>
      <c r="E7" s="1" t="str">
        <f>'[2]Oct-Dec''25'!E7</f>
        <v>PAPUM PARE, NAMSAI</v>
      </c>
      <c r="F7" s="12" t="s">
        <v>85</v>
      </c>
      <c r="G7" s="20">
        <f>'[2]Oct-Dec''25'!H7+'[2]Apr-Sep''25'!H7</f>
        <v>298</v>
      </c>
      <c r="H7" s="20">
        <f>'[2]Oct-Dec''25'!I7+'[2]Apr-Sep''25'!I7</f>
        <v>223</v>
      </c>
      <c r="I7" s="21">
        <f t="shared" ref="I7:I38" si="59">H7/G7</f>
        <v>0.74832214765100669</v>
      </c>
      <c r="J7" s="13">
        <f>'[2]Oct-Dec''25'!K7+'[2]Apr-Sep''25'!K7</f>
        <v>529</v>
      </c>
      <c r="K7" s="13">
        <f>'[2]Oct-Dec''25'!L7+'[2]Apr-Sep''25'!L7</f>
        <v>529</v>
      </c>
      <c r="L7" s="7">
        <f>K7/J7</f>
        <v>1</v>
      </c>
      <c r="M7" s="13">
        <f>'[2]Oct-Dec''25'!N7+'[2]Apr-Sep''25'!N7</f>
        <v>288</v>
      </c>
      <c r="N7" s="13">
        <f>'[2]Oct-Dec''25'!O7+'[2]Apr-Sep''25'!O7</f>
        <v>288</v>
      </c>
      <c r="O7" s="8">
        <f t="shared" ref="O7:O38" si="60">N7/M7</f>
        <v>1</v>
      </c>
      <c r="P7" s="13">
        <f>'[2]Oct-Dec''25'!Q7+'[2]Apr-Sep''25'!Q7</f>
        <v>127</v>
      </c>
      <c r="Q7" s="13">
        <f>'[2]Oct-Dec''25'!R7+'[2]Apr-Sep''25'!R7</f>
        <v>118</v>
      </c>
      <c r="R7" s="8">
        <f t="shared" ref="R7:R38" si="61">Q7/P7</f>
        <v>0.92913385826771655</v>
      </c>
      <c r="S7" s="13">
        <f>'[2]Oct-Dec''25'!T7+'[2]Apr-Sep''25'!T7</f>
        <v>1203</v>
      </c>
      <c r="T7" s="13">
        <f>'[2]Oct-Dec''25'!U7+'[2]Apr-Sep''25'!U7</f>
        <v>289</v>
      </c>
      <c r="U7" s="8">
        <f t="shared" ref="U7:U38" si="62">T7/S7</f>
        <v>0.24023275145469658</v>
      </c>
      <c r="V7" s="13">
        <f>'[2]Oct-Dec''25'!W7+'[2]Apr-Sep''25'!W7</f>
        <v>1086</v>
      </c>
      <c r="W7" s="13">
        <f>'[2]Oct-Dec''25'!Y7+'[2]Apr-Sep''25'!Y7</f>
        <v>476</v>
      </c>
      <c r="X7" s="8">
        <f t="shared" ref="X7:X38" si="63">W7/V7</f>
        <v>0.43830570902394106</v>
      </c>
      <c r="Y7" s="13">
        <f>'[2]Oct-Dec''25'!AA7+'[2]Apr-Sep''25'!AA7</f>
        <v>43</v>
      </c>
      <c r="Z7" s="13">
        <f>'[2]Oct-Dec''25'!AB7+'[2]Apr-Sep''25'!AB7</f>
        <v>37</v>
      </c>
      <c r="AA7" s="8">
        <f t="shared" ref="AA7:AA38" si="64">Z7/Y7</f>
        <v>0.86046511627906974</v>
      </c>
      <c r="AB7" s="13">
        <f>'[2]Oct-Dec''25'!AD7+'[2]Apr-Sep''25'!AD7</f>
        <v>0</v>
      </c>
      <c r="AC7" s="13">
        <f>'[2]Oct-Dec''25'!AE7+'[2]Apr-Sep''25'!AE7</f>
        <v>0</v>
      </c>
      <c r="AD7" s="8" t="e">
        <f t="shared" ref="AD7:AD38" si="65">AC7/AB7</f>
        <v>#DIV/0!</v>
      </c>
      <c r="AE7" s="13">
        <f>'[2]Oct-Dec''25'!AJ7+'[2]Apr-Sep''25'!AJ7</f>
        <v>798</v>
      </c>
      <c r="AF7" s="13">
        <f>'[2]Oct-Dec''25'!AK7+'[2]Apr-Sep''25'!AK7</f>
        <v>338</v>
      </c>
      <c r="AG7" s="8">
        <f t="shared" ref="AG7:AG38" si="66">AF7/AE7</f>
        <v>0.42355889724310775</v>
      </c>
      <c r="AH7" s="13">
        <f>'[2]Oct-Dec''25'!AM7+'[2]Apr-Sep''25'!AM7</f>
        <v>0</v>
      </c>
      <c r="AI7" s="13">
        <f>'[2]Oct-Dec''25'!AN7+'[2]Apr-Sep''25'!AN7</f>
        <v>0</v>
      </c>
      <c r="AJ7" s="8" t="e">
        <f t="shared" ref="AJ7:AJ38" si="67">AI7/AH7</f>
        <v>#DIV/0!</v>
      </c>
      <c r="AK7" s="13">
        <f>'[2]Oct-Dec''25'!AP7+'[2]Apr-Sep''25'!AP7</f>
        <v>78</v>
      </c>
      <c r="AL7" s="13">
        <f>'[2]Oct-Dec''25'!AQ7+'[2]Apr-Sep''25'!AQ7</f>
        <v>28</v>
      </c>
      <c r="AM7" s="8">
        <f t="shared" ref="AM7:AM38" si="68">AL7/AK7</f>
        <v>0.35897435897435898</v>
      </c>
      <c r="AN7" s="13">
        <f>'[2]Oct-Dec''25'!AS7+'[2]Apr-Sep''25'!AS7</f>
        <v>74</v>
      </c>
      <c r="AO7" s="13">
        <f>'[2]Oct-Dec''25'!AT7+'[2]Apr-Sep''25'!AT7</f>
        <v>71</v>
      </c>
      <c r="AP7" s="8">
        <f t="shared" ref="AP7:AP38" si="69">AO7/AN7</f>
        <v>0.95945945945945943</v>
      </c>
      <c r="AQ7" s="13">
        <f>'[2]Oct-Dec''25'!AV7+'[2]Apr-Sep''25'!AV7</f>
        <v>8</v>
      </c>
      <c r="AR7" s="13">
        <f>'[2]Oct-Dec''25'!AW7+'[2]Apr-Sep''25'!AW7</f>
        <v>8</v>
      </c>
      <c r="AS7" s="8">
        <f t="shared" ref="AS7:AS38" si="70">AR7/AQ7</f>
        <v>1</v>
      </c>
      <c r="AT7" s="13">
        <f>'[2]Oct-Dec''25'!AY7+'[2]Apr-Sep''25'!AY7</f>
        <v>21</v>
      </c>
      <c r="AU7" s="13">
        <f>'[2]Oct-Dec''25'!AZ7+'[2]Apr-Sep''25'!AZ7</f>
        <v>21</v>
      </c>
      <c r="AV7" s="8">
        <f t="shared" ref="AV7:AV38" si="71">AU7/AT7</f>
        <v>1</v>
      </c>
      <c r="AW7" s="9">
        <f t="shared" ref="AW7:AW38" si="72">AN7+AQ7+AT7</f>
        <v>103</v>
      </c>
      <c r="AX7" s="9">
        <f t="shared" ref="AX7:AX38" si="73">AO7+AR7+AU7</f>
        <v>100</v>
      </c>
      <c r="AY7" s="8">
        <f t="shared" ref="AY7:AY38" si="74">AX7/AW7</f>
        <v>0.970873786407767</v>
      </c>
      <c r="AZ7" s="13">
        <f>'[2]Oct-Dec''25'!BB7+'[2]Apr-Sep''25'!BB7</f>
        <v>2</v>
      </c>
      <c r="BA7" s="13">
        <f>'[2]Oct-Dec''25'!BC7+'[2]Apr-Sep''25'!BC7</f>
        <v>2</v>
      </c>
      <c r="BB7" s="14">
        <f t="shared" ref="BB7:BB38" si="75">IFERROR(BA7/AZ7,0)</f>
        <v>1</v>
      </c>
      <c r="BC7" s="13">
        <f>'[2]Oct-Dec''25'!BE7+'[2]Apr-Sep''25'!BE7</f>
        <v>0</v>
      </c>
      <c r="BD7" s="13">
        <f>'[2]Oct-Dec''25'!BF7+'[2]Apr-Sep''25'!BF7</f>
        <v>0</v>
      </c>
      <c r="BE7" s="14">
        <f t="shared" ref="BE7:BE38" si="76">IFERROR(BD7/BC7,0)</f>
        <v>0</v>
      </c>
      <c r="BF7" s="13">
        <f>'[2]Oct-Dec''25'!BH7+'[2]Apr-Sep''25'!BH7</f>
        <v>5</v>
      </c>
      <c r="BG7" s="13">
        <f>'[2]Oct-Dec''25'!BI7+'[2]Apr-Sep''25'!BI7</f>
        <v>5</v>
      </c>
      <c r="BH7" s="14">
        <f t="shared" ref="BH7:BH38" si="77">IFERROR(BG7/BF7,0)</f>
        <v>1</v>
      </c>
      <c r="BI7" s="13">
        <f>'[2]Oct-Dec''25'!BK7+'[2]Apr-Sep''25'!BK7</f>
        <v>7</v>
      </c>
      <c r="BJ7" s="13">
        <f>'[2]Oct-Dec''25'!BL7+'[2]Apr-Sep''25'!BL7</f>
        <v>7</v>
      </c>
      <c r="BK7" s="15">
        <f t="shared" ref="BK7:BK38" si="78">IFERROR(BJ7/BI7,0)</f>
        <v>1</v>
      </c>
      <c r="BL7" s="13">
        <f>'[2]Oct-Dec''25'!BN7+'[2]Apr-Sep''25'!BN7</f>
        <v>0</v>
      </c>
      <c r="BM7" s="13">
        <f>'[2]Oct-Dec''25'!BO7+'[2]Apr-Sep''25'!BO7</f>
        <v>0</v>
      </c>
      <c r="BN7" s="15">
        <f t="shared" ref="BN7:BN38" si="79">IFERROR(BM7/BL7,0)</f>
        <v>0</v>
      </c>
      <c r="BO7" s="13">
        <f>'[2]Oct-Dec''25'!BQ7+'[2]Apr-Sep''25'!BQ7</f>
        <v>3</v>
      </c>
      <c r="BP7" s="13">
        <f>'[2]Oct-Dec''25'!BR7+'[2]Apr-Sep''25'!BR7</f>
        <v>3</v>
      </c>
      <c r="BQ7" s="15">
        <f t="shared" ref="BQ7:BQ38" si="80">IFERROR(BP7/BO7,0)</f>
        <v>1</v>
      </c>
      <c r="BR7" s="13">
        <f>'[2]Oct-Dec''25'!BT7+'[2]Apr-Sep''25'!BT7</f>
        <v>2</v>
      </c>
      <c r="BS7" s="13">
        <f>'[2]Oct-Dec''25'!BU7+'[2]Apr-Sep''25'!BU7</f>
        <v>2</v>
      </c>
      <c r="BT7" s="14">
        <f t="shared" ref="BT7:BT38" si="81">IFERROR(BS7/BR7,0)</f>
        <v>1</v>
      </c>
      <c r="BU7" s="13">
        <f>'[2]Oct-Dec''25'!BW7+'[2]Apr-Sep''25'!BW7</f>
        <v>0</v>
      </c>
      <c r="BV7" s="13">
        <f>'[2]Oct-Dec''25'!BX7+'[2]Apr-Sep''25'!BX7</f>
        <v>0</v>
      </c>
      <c r="BW7" s="14">
        <f t="shared" ref="BW7:BW38" si="82">IFERROR(BV7/BU7,0)</f>
        <v>0</v>
      </c>
      <c r="BX7" s="13">
        <f>'[2]Oct-Dec''25'!BZ7+'[2]Apr-Sep''25'!BZ7</f>
        <v>223</v>
      </c>
      <c r="BY7" s="13">
        <f>'[2]Oct-Dec''25'!CA7+'[2]Apr-Sep''25'!CA7</f>
        <v>201</v>
      </c>
      <c r="BZ7" s="14">
        <f t="shared" ref="BZ7:BZ38" si="83">IFERROR(BY7/BX7,0)</f>
        <v>0.90134529147982068</v>
      </c>
      <c r="CA7" s="13">
        <f>'[2]Oct-Dec''25'!CC7+'[2]Apr-Sep''25'!CC7</f>
        <v>14</v>
      </c>
      <c r="CB7" s="13">
        <f>'[2]Oct-Dec''25'!CD7+'[2]Apr-Sep''25'!CD7</f>
        <v>11</v>
      </c>
      <c r="CC7" s="14">
        <f t="shared" ref="CC7:CC38" si="84">IFERROR(CB7/CA7,0)</f>
        <v>0.7857142857142857</v>
      </c>
      <c r="CD7" s="13">
        <f>'[2]Oct-Dec''25'!CF7+'[2]Apr-Sep''25'!CF7</f>
        <v>5</v>
      </c>
      <c r="CE7" s="13">
        <f>'[2]Oct-Dec''25'!CG7+'[2]Apr-Sep''25'!CG7</f>
        <v>1</v>
      </c>
      <c r="CF7" s="14">
        <f t="shared" ref="CF7:CF38" si="85">IFERROR(CE7/CD7,0)</f>
        <v>0.2</v>
      </c>
    </row>
    <row r="8" spans="1:84" ht="48" x14ac:dyDescent="0.25">
      <c r="A8" s="12">
        <f>'[2]Oct-Dec''25'!A8</f>
        <v>2</v>
      </c>
      <c r="B8" s="12" t="str">
        <f>'[2]Oct-Dec''25'!B8</f>
        <v>CHRI</v>
      </c>
      <c r="C8" s="1" t="str">
        <f>'[2]Oct-Dec''25'!C8</f>
        <v>Assam</v>
      </c>
      <c r="D8" s="3" t="str">
        <f>'[2]Oct-Dec''25'!D8</f>
        <v>ASSAM NETWORK OF POSITIVE PEOPLE(ANP+), DIBRUGARH</v>
      </c>
      <c r="E8" s="1" t="str">
        <f>'[2]Oct-Dec''25'!E8</f>
        <v>DIBRUGARH</v>
      </c>
      <c r="F8" s="12" t="s">
        <v>85</v>
      </c>
      <c r="G8" s="13">
        <f>'[2]Oct-Dec''25'!H8+'[2]Apr-Sep''25'!H8</f>
        <v>600</v>
      </c>
      <c r="H8" s="13">
        <f>'[2]Oct-Dec''25'!I8+'[2]Apr-Sep''25'!I8</f>
        <v>558</v>
      </c>
      <c r="I8" s="7">
        <f t="shared" si="59"/>
        <v>0.93</v>
      </c>
      <c r="J8" s="13">
        <f>'[2]Oct-Dec''25'!K8+'[2]Apr-Sep''25'!K8</f>
        <v>6</v>
      </c>
      <c r="K8" s="13">
        <f>'[2]Oct-Dec''25'!L8+'[2]Apr-Sep''25'!L8</f>
        <v>6</v>
      </c>
      <c r="L8" s="7">
        <f>K8/J8</f>
        <v>1</v>
      </c>
      <c r="M8" s="13">
        <f>'[2]Oct-Dec''25'!N8+'[2]Apr-Sep''25'!N8</f>
        <v>543</v>
      </c>
      <c r="N8" s="13">
        <f>'[2]Oct-Dec''25'!O8+'[2]Apr-Sep''25'!O8</f>
        <v>540</v>
      </c>
      <c r="O8" s="8">
        <f t="shared" si="60"/>
        <v>0.99447513812154698</v>
      </c>
      <c r="P8" s="13">
        <f>'[2]Oct-Dec''25'!Q8+'[2]Apr-Sep''25'!Q8</f>
        <v>481</v>
      </c>
      <c r="Q8" s="13">
        <f>'[2]Oct-Dec''25'!R8+'[2]Apr-Sep''25'!R8</f>
        <v>336</v>
      </c>
      <c r="R8" s="8">
        <f t="shared" si="61"/>
        <v>0.69854469854469858</v>
      </c>
      <c r="S8" s="13">
        <f>'[2]Oct-Dec''25'!T8+'[2]Apr-Sep''25'!T8</f>
        <v>1688</v>
      </c>
      <c r="T8" s="13">
        <f>'[2]Oct-Dec''25'!U8+'[2]Apr-Sep''25'!U8</f>
        <v>698</v>
      </c>
      <c r="U8" s="8">
        <f t="shared" si="62"/>
        <v>0.41350710900473936</v>
      </c>
      <c r="V8" s="13">
        <f>'[2]Oct-Dec''25'!W8+'[2]Apr-Sep''25'!W8</f>
        <v>1307</v>
      </c>
      <c r="W8" s="13">
        <f>'[2]Oct-Dec''25'!Y8+'[2]Apr-Sep''25'!Y8</f>
        <v>398</v>
      </c>
      <c r="X8" s="8">
        <f t="shared" si="63"/>
        <v>0.3045141545524101</v>
      </c>
      <c r="Y8" s="13">
        <f>'[2]Oct-Dec''25'!AA8+'[2]Apr-Sep''25'!AA8</f>
        <v>29</v>
      </c>
      <c r="Z8" s="13">
        <f>'[2]Oct-Dec''25'!AB8+'[2]Apr-Sep''25'!AB8</f>
        <v>29</v>
      </c>
      <c r="AA8" s="8">
        <f t="shared" si="64"/>
        <v>1</v>
      </c>
      <c r="AB8" s="13">
        <f>'[2]Oct-Dec''25'!AD8+'[2]Apr-Sep''25'!AD8</f>
        <v>26</v>
      </c>
      <c r="AC8" s="13">
        <f>'[2]Oct-Dec''25'!AE8+'[2]Apr-Sep''25'!AE8</f>
        <v>26</v>
      </c>
      <c r="AD8" s="8">
        <f t="shared" si="65"/>
        <v>1</v>
      </c>
      <c r="AE8" s="13">
        <f>'[2]Oct-Dec''25'!AJ8+'[2]Apr-Sep''25'!AJ8</f>
        <v>525</v>
      </c>
      <c r="AF8" s="13">
        <f>'[2]Oct-Dec''25'!AK8+'[2]Apr-Sep''25'!AK8</f>
        <v>418</v>
      </c>
      <c r="AG8" s="8">
        <f t="shared" si="66"/>
        <v>0.79619047619047623</v>
      </c>
      <c r="AH8" s="13">
        <f>'[2]Oct-Dec''25'!AM8+'[2]Apr-Sep''25'!AM8</f>
        <v>0</v>
      </c>
      <c r="AI8" s="13">
        <f>'[2]Oct-Dec''25'!AN8+'[2]Apr-Sep''25'!AN8</f>
        <v>0</v>
      </c>
      <c r="AJ8" s="8" t="e">
        <f t="shared" si="67"/>
        <v>#DIV/0!</v>
      </c>
      <c r="AK8" s="13">
        <f>'[2]Oct-Dec''25'!AP8+'[2]Apr-Sep''25'!AP8</f>
        <v>35</v>
      </c>
      <c r="AL8" s="13">
        <f>'[2]Oct-Dec''25'!AQ8+'[2]Apr-Sep''25'!AQ8</f>
        <v>22</v>
      </c>
      <c r="AM8" s="8">
        <f t="shared" si="68"/>
        <v>0.62857142857142856</v>
      </c>
      <c r="AN8" s="13">
        <f>'[2]Oct-Dec''25'!AS8+'[2]Apr-Sep''25'!AS8</f>
        <v>0</v>
      </c>
      <c r="AO8" s="13">
        <f>'[2]Oct-Dec''25'!AT8+'[2]Apr-Sep''25'!AT8</f>
        <v>48</v>
      </c>
      <c r="AP8" s="8" t="e">
        <f t="shared" si="69"/>
        <v>#DIV/0!</v>
      </c>
      <c r="AQ8" s="13">
        <f>'[2]Oct-Dec''25'!AV8+'[2]Apr-Sep''25'!AV8</f>
        <v>0</v>
      </c>
      <c r="AR8" s="13">
        <f>'[2]Oct-Dec''25'!AW8+'[2]Apr-Sep''25'!AW8</f>
        <v>0</v>
      </c>
      <c r="AS8" s="8" t="e">
        <f t="shared" si="70"/>
        <v>#DIV/0!</v>
      </c>
      <c r="AT8" s="13">
        <f>'[2]Oct-Dec''25'!AY8+'[2]Apr-Sep''25'!AY8</f>
        <v>0</v>
      </c>
      <c r="AU8" s="13">
        <f>'[2]Oct-Dec''25'!AZ8+'[2]Apr-Sep''25'!AZ8</f>
        <v>0</v>
      </c>
      <c r="AV8" s="8" t="e">
        <f t="shared" si="71"/>
        <v>#DIV/0!</v>
      </c>
      <c r="AW8" s="17">
        <f t="shared" si="72"/>
        <v>0</v>
      </c>
      <c r="AX8" s="9">
        <f t="shared" si="73"/>
        <v>48</v>
      </c>
      <c r="AY8" s="8" t="e">
        <f t="shared" si="74"/>
        <v>#DIV/0!</v>
      </c>
      <c r="AZ8" s="13">
        <f>'[2]Oct-Dec''25'!BB8+'[2]Apr-Sep''25'!BB8</f>
        <v>0</v>
      </c>
      <c r="BA8" s="13">
        <f>'[2]Oct-Dec''25'!BC8+'[2]Apr-Sep''25'!BC8</f>
        <v>0</v>
      </c>
      <c r="BB8" s="14">
        <f t="shared" si="75"/>
        <v>0</v>
      </c>
      <c r="BC8" s="13">
        <f>'[2]Oct-Dec''25'!BE8+'[2]Apr-Sep''25'!BE8</f>
        <v>4</v>
      </c>
      <c r="BD8" s="13">
        <f>'[2]Oct-Dec''25'!BF8+'[2]Apr-Sep''25'!BF8</f>
        <v>4</v>
      </c>
      <c r="BE8" s="14">
        <f t="shared" si="76"/>
        <v>1</v>
      </c>
      <c r="BF8" s="13">
        <f>'[2]Oct-Dec''25'!BH8+'[2]Apr-Sep''25'!BH8</f>
        <v>0</v>
      </c>
      <c r="BG8" s="13">
        <f>'[2]Oct-Dec''25'!BI8+'[2]Apr-Sep''25'!BI8</f>
        <v>0</v>
      </c>
      <c r="BH8" s="14">
        <f t="shared" si="77"/>
        <v>0</v>
      </c>
      <c r="BI8" s="13">
        <f>'[2]Oct-Dec''25'!BK8+'[2]Apr-Sep''25'!BK8</f>
        <v>4</v>
      </c>
      <c r="BJ8" s="13">
        <f>'[2]Oct-Dec''25'!BL8+'[2]Apr-Sep''25'!BL8</f>
        <v>6</v>
      </c>
      <c r="BK8" s="15">
        <f t="shared" si="78"/>
        <v>1.5</v>
      </c>
      <c r="BL8" s="13">
        <f>'[2]Oct-Dec''25'!BN8+'[2]Apr-Sep''25'!BN8</f>
        <v>0</v>
      </c>
      <c r="BM8" s="13">
        <f>'[2]Oct-Dec''25'!BO8+'[2]Apr-Sep''25'!BO8</f>
        <v>0</v>
      </c>
      <c r="BN8" s="15">
        <f t="shared" si="79"/>
        <v>0</v>
      </c>
      <c r="BO8" s="13">
        <f>'[2]Oct-Dec''25'!BQ8+'[2]Apr-Sep''25'!BQ8</f>
        <v>1</v>
      </c>
      <c r="BP8" s="13">
        <f>'[2]Oct-Dec''25'!BR8+'[2]Apr-Sep''25'!BR8</f>
        <v>1</v>
      </c>
      <c r="BQ8" s="15">
        <f t="shared" si="80"/>
        <v>1</v>
      </c>
      <c r="BR8" s="13">
        <f>'[2]Oct-Dec''25'!BT8+'[2]Apr-Sep''25'!BT8</f>
        <v>0</v>
      </c>
      <c r="BS8" s="13">
        <f>'[2]Oct-Dec''25'!BU8+'[2]Apr-Sep''25'!BU8</f>
        <v>0</v>
      </c>
      <c r="BT8" s="14">
        <f t="shared" si="81"/>
        <v>0</v>
      </c>
      <c r="BU8" s="13">
        <f>'[2]Oct-Dec''25'!BW8+'[2]Apr-Sep''25'!BW8</f>
        <v>0</v>
      </c>
      <c r="BV8" s="13">
        <f>'[2]Oct-Dec''25'!BX8+'[2]Apr-Sep''25'!BX8</f>
        <v>0</v>
      </c>
      <c r="BW8" s="14">
        <f t="shared" si="82"/>
        <v>0</v>
      </c>
      <c r="BX8" s="13">
        <f>'[2]Oct-Dec''25'!BZ8+'[2]Apr-Sep''25'!BZ8</f>
        <v>558</v>
      </c>
      <c r="BY8" s="13">
        <f>'[2]Oct-Dec''25'!CA8+'[2]Apr-Sep''25'!CA8</f>
        <v>459</v>
      </c>
      <c r="BZ8" s="14">
        <f t="shared" si="83"/>
        <v>0.82258064516129037</v>
      </c>
      <c r="CA8" s="13">
        <f>'[2]Oct-Dec''25'!CC8+'[2]Apr-Sep''25'!CC8</f>
        <v>10</v>
      </c>
      <c r="CB8" s="13">
        <f>'[2]Oct-Dec''25'!CD8+'[2]Apr-Sep''25'!CD8</f>
        <v>10</v>
      </c>
      <c r="CC8" s="14">
        <f t="shared" si="84"/>
        <v>1</v>
      </c>
      <c r="CD8" s="13">
        <f>'[2]Oct-Dec''25'!CF8+'[2]Apr-Sep''25'!CF8</f>
        <v>0</v>
      </c>
      <c r="CE8" s="13">
        <f>'[2]Oct-Dec''25'!CG8+'[2]Apr-Sep''25'!CG8</f>
        <v>0</v>
      </c>
      <c r="CF8" s="14">
        <f t="shared" si="85"/>
        <v>0</v>
      </c>
    </row>
    <row r="9" spans="1:84" x14ac:dyDescent="0.25">
      <c r="A9" s="12">
        <f>'[2]Oct-Dec''25'!A9</f>
        <v>3</v>
      </c>
      <c r="B9" s="12" t="str">
        <f>'[2]Oct-Dec''25'!B9</f>
        <v>CHRI</v>
      </c>
      <c r="C9" s="1" t="str">
        <f>'[2]Oct-Dec''25'!C9</f>
        <v>Assam</v>
      </c>
      <c r="D9" s="3" t="str">
        <f>'[2]Oct-Dec''25'!D9</f>
        <v>DESHABANDHU CLUB</v>
      </c>
      <c r="E9" s="1" t="str">
        <f>'[2]Oct-Dec''25'!E9</f>
        <v>CACHAR</v>
      </c>
      <c r="F9" s="12" t="s">
        <v>85</v>
      </c>
      <c r="G9" s="13">
        <f>'[2]Oct-Dec''25'!H9+'[2]Apr-Sep''25'!H9</f>
        <v>439</v>
      </c>
      <c r="H9" s="13">
        <f>'[2]Oct-Dec''25'!I9+'[2]Apr-Sep''25'!I9</f>
        <v>465</v>
      </c>
      <c r="I9" s="7">
        <f t="shared" si="59"/>
        <v>1.0592255125284737</v>
      </c>
      <c r="J9" s="13">
        <f>'[2]Oct-Dec''25'!K9+'[2]Apr-Sep''25'!K9</f>
        <v>73</v>
      </c>
      <c r="K9" s="13">
        <f>'[2]Oct-Dec''25'!L9+'[2]Apr-Sep''25'!L9</f>
        <v>34</v>
      </c>
      <c r="L9" s="7">
        <f>K9/J9</f>
        <v>0.46575342465753422</v>
      </c>
      <c r="M9" s="13">
        <f>'[2]Oct-Dec''25'!N9+'[2]Apr-Sep''25'!N9</f>
        <v>448</v>
      </c>
      <c r="N9" s="13">
        <f>'[2]Oct-Dec''25'!O9+'[2]Apr-Sep''25'!O9</f>
        <v>441</v>
      </c>
      <c r="O9" s="8">
        <f t="shared" si="60"/>
        <v>0.984375</v>
      </c>
      <c r="P9" s="13">
        <f>'[2]Oct-Dec''25'!Q9+'[2]Apr-Sep''25'!Q9</f>
        <v>370</v>
      </c>
      <c r="Q9" s="13">
        <f>'[2]Oct-Dec''25'!R9+'[2]Apr-Sep''25'!R9</f>
        <v>306</v>
      </c>
      <c r="R9" s="8">
        <f t="shared" si="61"/>
        <v>0.82702702702702702</v>
      </c>
      <c r="S9" s="13">
        <f>'[2]Oct-Dec''25'!T9+'[2]Apr-Sep''25'!T9</f>
        <v>2941</v>
      </c>
      <c r="T9" s="13">
        <f>'[2]Oct-Dec''25'!U9+'[2]Apr-Sep''25'!U9</f>
        <v>2583</v>
      </c>
      <c r="U9" s="8">
        <f t="shared" si="62"/>
        <v>0.87827269636178174</v>
      </c>
      <c r="V9" s="13">
        <f>'[2]Oct-Dec''25'!W9+'[2]Apr-Sep''25'!W9</f>
        <v>1444</v>
      </c>
      <c r="W9" s="13">
        <f>'[2]Oct-Dec''25'!Y9+'[2]Apr-Sep''25'!Y9</f>
        <v>815</v>
      </c>
      <c r="X9" s="8">
        <f t="shared" si="63"/>
        <v>0.56440443213296398</v>
      </c>
      <c r="Y9" s="13">
        <f>'[2]Oct-Dec''25'!AA9+'[2]Apr-Sep''25'!AA9</f>
        <v>320</v>
      </c>
      <c r="Z9" s="13">
        <f>'[2]Oct-Dec''25'!AB9+'[2]Apr-Sep''25'!AB9</f>
        <v>320</v>
      </c>
      <c r="AA9" s="8">
        <f t="shared" si="64"/>
        <v>1</v>
      </c>
      <c r="AB9" s="13">
        <f>'[2]Oct-Dec''25'!AD9+'[2]Apr-Sep''25'!AD9</f>
        <v>106</v>
      </c>
      <c r="AC9" s="13">
        <f>'[2]Oct-Dec''25'!AE9+'[2]Apr-Sep''25'!AE9</f>
        <v>77</v>
      </c>
      <c r="AD9" s="8">
        <f t="shared" si="65"/>
        <v>0.72641509433962259</v>
      </c>
      <c r="AE9" s="13">
        <f>'[2]Oct-Dec''25'!AJ9+'[2]Apr-Sep''25'!AJ9</f>
        <v>382</v>
      </c>
      <c r="AF9" s="13">
        <f>'[2]Oct-Dec''25'!AK9+'[2]Apr-Sep''25'!AK9</f>
        <v>321</v>
      </c>
      <c r="AG9" s="8">
        <f t="shared" si="66"/>
        <v>0.84031413612565442</v>
      </c>
      <c r="AH9" s="13">
        <f>'[2]Oct-Dec''25'!AM9+'[2]Apr-Sep''25'!AM9</f>
        <v>1</v>
      </c>
      <c r="AI9" s="13">
        <f>'[2]Oct-Dec''25'!AN9+'[2]Apr-Sep''25'!AN9</f>
        <v>1</v>
      </c>
      <c r="AJ9" s="8">
        <f t="shared" si="67"/>
        <v>1</v>
      </c>
      <c r="AK9" s="13">
        <f>'[2]Oct-Dec''25'!AP9+'[2]Apr-Sep''25'!AP9</f>
        <v>118</v>
      </c>
      <c r="AL9" s="13">
        <f>'[2]Oct-Dec''25'!AQ9+'[2]Apr-Sep''25'!AQ9</f>
        <v>116</v>
      </c>
      <c r="AM9" s="8">
        <f t="shared" si="68"/>
        <v>0.98305084745762716</v>
      </c>
      <c r="AN9" s="13">
        <f>'[2]Oct-Dec''25'!AS9+'[2]Apr-Sep''25'!AS9</f>
        <v>137</v>
      </c>
      <c r="AO9" s="13">
        <f>'[2]Oct-Dec''25'!AT9+'[2]Apr-Sep''25'!AT9</f>
        <v>131</v>
      </c>
      <c r="AP9" s="8">
        <f t="shared" si="69"/>
        <v>0.95620437956204385</v>
      </c>
      <c r="AQ9" s="13">
        <f>'[2]Oct-Dec''25'!AV9+'[2]Apr-Sep''25'!AV9</f>
        <v>4</v>
      </c>
      <c r="AR9" s="13">
        <f>'[2]Oct-Dec''25'!AW9+'[2]Apr-Sep''25'!AW9</f>
        <v>4</v>
      </c>
      <c r="AS9" s="8">
        <f t="shared" si="70"/>
        <v>1</v>
      </c>
      <c r="AT9" s="13">
        <f>'[2]Oct-Dec''25'!AY9+'[2]Apr-Sep''25'!AY9</f>
        <v>86</v>
      </c>
      <c r="AU9" s="13">
        <f>'[2]Oct-Dec''25'!AZ9+'[2]Apr-Sep''25'!AZ9</f>
        <v>85</v>
      </c>
      <c r="AV9" s="8">
        <f t="shared" si="71"/>
        <v>0.98837209302325579</v>
      </c>
      <c r="AW9" s="9">
        <f t="shared" si="72"/>
        <v>227</v>
      </c>
      <c r="AX9" s="9">
        <f t="shared" si="73"/>
        <v>220</v>
      </c>
      <c r="AY9" s="8">
        <f t="shared" si="74"/>
        <v>0.96916299559471364</v>
      </c>
      <c r="AZ9" s="13">
        <f>'[2]Oct-Dec''25'!BB9+'[2]Apr-Sep''25'!BB9</f>
        <v>73</v>
      </c>
      <c r="BA9" s="13">
        <f>'[2]Oct-Dec''25'!BC9+'[2]Apr-Sep''25'!BC9</f>
        <v>72</v>
      </c>
      <c r="BB9" s="14">
        <f t="shared" si="75"/>
        <v>0.98630136986301364</v>
      </c>
      <c r="BC9" s="13">
        <f>'[2]Oct-Dec''25'!BE9+'[2]Apr-Sep''25'!BE9</f>
        <v>25</v>
      </c>
      <c r="BD9" s="13">
        <f>'[2]Oct-Dec''25'!BF9+'[2]Apr-Sep''25'!BF9</f>
        <v>28</v>
      </c>
      <c r="BE9" s="14">
        <f t="shared" si="76"/>
        <v>1.1200000000000001</v>
      </c>
      <c r="BF9" s="13">
        <f>'[2]Oct-Dec''25'!BH9+'[2]Apr-Sep''25'!BH9</f>
        <v>37</v>
      </c>
      <c r="BG9" s="13">
        <f>'[2]Oct-Dec''25'!BI9+'[2]Apr-Sep''25'!BI9</f>
        <v>37</v>
      </c>
      <c r="BH9" s="14">
        <f t="shared" si="77"/>
        <v>1</v>
      </c>
      <c r="BI9" s="13">
        <f>'[2]Oct-Dec''25'!BK9+'[2]Apr-Sep''25'!BK9</f>
        <v>28</v>
      </c>
      <c r="BJ9" s="13">
        <f>'[2]Oct-Dec''25'!BL9+'[2]Apr-Sep''25'!BL9</f>
        <v>27</v>
      </c>
      <c r="BK9" s="15">
        <f t="shared" si="78"/>
        <v>0.9642857142857143</v>
      </c>
      <c r="BL9" s="13">
        <f>'[2]Oct-Dec''25'!BN9+'[2]Apr-Sep''25'!BN9</f>
        <v>27</v>
      </c>
      <c r="BM9" s="13">
        <f>'[2]Oct-Dec''25'!BO9+'[2]Apr-Sep''25'!BO9</f>
        <v>26</v>
      </c>
      <c r="BN9" s="15">
        <f t="shared" si="79"/>
        <v>0.96296296296296291</v>
      </c>
      <c r="BO9" s="13">
        <f>'[2]Oct-Dec''25'!BQ9+'[2]Apr-Sep''25'!BQ9</f>
        <v>12</v>
      </c>
      <c r="BP9" s="13">
        <f>'[2]Oct-Dec''25'!BR9+'[2]Apr-Sep''25'!BR9</f>
        <v>11</v>
      </c>
      <c r="BQ9" s="15">
        <f t="shared" si="80"/>
        <v>0.91666666666666663</v>
      </c>
      <c r="BR9" s="13">
        <f>'[2]Oct-Dec''25'!BT9+'[2]Apr-Sep''25'!BT9</f>
        <v>29</v>
      </c>
      <c r="BS9" s="13">
        <f>'[2]Oct-Dec''25'!BU9+'[2]Apr-Sep''25'!BU9</f>
        <v>21</v>
      </c>
      <c r="BT9" s="14">
        <f t="shared" si="81"/>
        <v>0.72413793103448276</v>
      </c>
      <c r="BU9" s="13">
        <f>'[2]Oct-Dec''25'!BW9+'[2]Apr-Sep''25'!BW9</f>
        <v>2</v>
      </c>
      <c r="BV9" s="13">
        <f>'[2]Oct-Dec''25'!BX9+'[2]Apr-Sep''25'!BX9</f>
        <v>2</v>
      </c>
      <c r="BW9" s="14">
        <f t="shared" si="82"/>
        <v>1</v>
      </c>
      <c r="BX9" s="13">
        <f>'[2]Oct-Dec''25'!BZ9+'[2]Apr-Sep''25'!BZ9</f>
        <v>465</v>
      </c>
      <c r="BY9" s="13">
        <f>'[2]Oct-Dec''25'!CA9+'[2]Apr-Sep''25'!CA9</f>
        <v>480</v>
      </c>
      <c r="BZ9" s="14">
        <f t="shared" si="83"/>
        <v>1.032258064516129</v>
      </c>
      <c r="CA9" s="13">
        <f>'[2]Oct-Dec''25'!CC9+'[2]Apr-Sep''25'!CC9</f>
        <v>121</v>
      </c>
      <c r="CB9" s="13">
        <f>'[2]Oct-Dec''25'!CD9+'[2]Apr-Sep''25'!CD9</f>
        <v>89</v>
      </c>
      <c r="CC9" s="14">
        <f t="shared" si="84"/>
        <v>0.73553719008264462</v>
      </c>
      <c r="CD9" s="13">
        <f>'[2]Oct-Dec''25'!CF9+'[2]Apr-Sep''25'!CF9</f>
        <v>57</v>
      </c>
      <c r="CE9" s="13">
        <f>'[2]Oct-Dec''25'!CG9+'[2]Apr-Sep''25'!CG9</f>
        <v>93</v>
      </c>
      <c r="CF9" s="14">
        <f t="shared" si="85"/>
        <v>1.631578947368421</v>
      </c>
    </row>
    <row r="10" spans="1:84" ht="48" x14ac:dyDescent="0.25">
      <c r="A10" s="12">
        <f>'[2]Oct-Dec''25'!A10</f>
        <v>4</v>
      </c>
      <c r="B10" s="12" t="str">
        <f>'[2]Oct-Dec''25'!B10</f>
        <v>CHRI</v>
      </c>
      <c r="C10" s="1" t="str">
        <f>'[2]Oct-Dec''25'!C10</f>
        <v>Assam</v>
      </c>
      <c r="D10" s="3" t="str">
        <f>'[2]Oct-Dec''25'!D10</f>
        <v>ASSAM NETWORK OF POSITIVE PEOPLE(ANP+), KAMRUP</v>
      </c>
      <c r="E10" s="1" t="str">
        <f>'[2]Oct-Dec''25'!E10</f>
        <v>KAMRUP</v>
      </c>
      <c r="F10" s="12" t="s">
        <v>85</v>
      </c>
      <c r="G10" s="13">
        <f>'[2]Oct-Dec''25'!H10+'[2]Apr-Sep''25'!H10</f>
        <v>1353</v>
      </c>
      <c r="H10" s="13">
        <f>'[2]Oct-Dec''25'!I10+'[2]Apr-Sep''25'!I10</f>
        <v>1207</v>
      </c>
      <c r="I10" s="7">
        <f t="shared" si="59"/>
        <v>0.89209164818920916</v>
      </c>
      <c r="J10" s="13">
        <f>'[2]Oct-Dec''25'!K10+'[2]Apr-Sep''25'!K10</f>
        <v>0</v>
      </c>
      <c r="K10" s="13">
        <f>'[2]Oct-Dec''25'!L10+'[2]Apr-Sep''25'!L10</f>
        <v>0</v>
      </c>
      <c r="L10" s="7"/>
      <c r="M10" s="13">
        <f>'[2]Oct-Dec''25'!N10+'[2]Apr-Sep''25'!N10</f>
        <v>761</v>
      </c>
      <c r="N10" s="13">
        <f>'[2]Oct-Dec''25'!O10+'[2]Apr-Sep''25'!O10</f>
        <v>413</v>
      </c>
      <c r="O10" s="8">
        <f t="shared" si="60"/>
        <v>0.54270696452036793</v>
      </c>
      <c r="P10" s="13">
        <f>'[2]Oct-Dec''25'!Q10+'[2]Apr-Sep''25'!Q10</f>
        <v>198</v>
      </c>
      <c r="Q10" s="13">
        <f>'[2]Oct-Dec''25'!R10+'[2]Apr-Sep''25'!R10</f>
        <v>164</v>
      </c>
      <c r="R10" s="8">
        <f t="shared" si="61"/>
        <v>0.82828282828282829</v>
      </c>
      <c r="S10" s="13">
        <f>'[2]Oct-Dec''25'!T10+'[2]Apr-Sep''25'!T10</f>
        <v>3626</v>
      </c>
      <c r="T10" s="13">
        <f>'[2]Oct-Dec''25'!U10+'[2]Apr-Sep''25'!U10</f>
        <v>1183</v>
      </c>
      <c r="U10" s="8">
        <f t="shared" si="62"/>
        <v>0.32625482625482627</v>
      </c>
      <c r="V10" s="13">
        <f>'[2]Oct-Dec''25'!W10+'[2]Apr-Sep''25'!W10</f>
        <v>5386</v>
      </c>
      <c r="W10" s="13">
        <f>'[2]Oct-Dec''25'!Y10+'[2]Apr-Sep''25'!Y10</f>
        <v>949</v>
      </c>
      <c r="X10" s="8">
        <f t="shared" si="63"/>
        <v>0.17619754920163386</v>
      </c>
      <c r="Y10" s="13">
        <f>'[2]Oct-Dec''25'!AA10+'[2]Apr-Sep''25'!AA10</f>
        <v>1094</v>
      </c>
      <c r="Z10" s="13">
        <f>'[2]Oct-Dec''25'!AB10+'[2]Apr-Sep''25'!AB10</f>
        <v>148</v>
      </c>
      <c r="AA10" s="8">
        <f t="shared" si="64"/>
        <v>0.13528336380255943</v>
      </c>
      <c r="AB10" s="13">
        <f>'[2]Oct-Dec''25'!AD10+'[2]Apr-Sep''25'!AD10</f>
        <v>0</v>
      </c>
      <c r="AC10" s="13">
        <f>'[2]Oct-Dec''25'!AE10+'[2]Apr-Sep''25'!AE10</f>
        <v>0</v>
      </c>
      <c r="AD10" s="8" t="e">
        <f t="shared" si="65"/>
        <v>#DIV/0!</v>
      </c>
      <c r="AE10" s="13">
        <f>'[2]Oct-Dec''25'!AJ10+'[2]Apr-Sep''25'!AJ10</f>
        <v>2423</v>
      </c>
      <c r="AF10" s="13">
        <f>'[2]Oct-Dec''25'!AK10+'[2]Apr-Sep''25'!AK10</f>
        <v>963</v>
      </c>
      <c r="AG10" s="8">
        <f t="shared" si="66"/>
        <v>0.39744118860916222</v>
      </c>
      <c r="AH10" s="13">
        <f>'[2]Oct-Dec''25'!AM10+'[2]Apr-Sep''25'!AM10</f>
        <v>0</v>
      </c>
      <c r="AI10" s="13">
        <f>'[2]Oct-Dec''25'!AN10+'[2]Apr-Sep''25'!AN10</f>
        <v>0</v>
      </c>
      <c r="AJ10" s="8" t="e">
        <f t="shared" si="67"/>
        <v>#DIV/0!</v>
      </c>
      <c r="AK10" s="13">
        <f>'[2]Oct-Dec''25'!AP10+'[2]Apr-Sep''25'!AP10</f>
        <v>208</v>
      </c>
      <c r="AL10" s="13">
        <f>'[2]Oct-Dec''25'!AQ10+'[2]Apr-Sep''25'!AQ10</f>
        <v>40</v>
      </c>
      <c r="AM10" s="8">
        <f t="shared" si="68"/>
        <v>0.19230769230769232</v>
      </c>
      <c r="AN10" s="13">
        <f>'[2]Oct-Dec''25'!AS10+'[2]Apr-Sep''25'!AS10</f>
        <v>2326</v>
      </c>
      <c r="AO10" s="13">
        <f>'[2]Oct-Dec''25'!AT10+'[2]Apr-Sep''25'!AT10</f>
        <v>2291</v>
      </c>
      <c r="AP10" s="8">
        <f t="shared" si="69"/>
        <v>0.98495270851246775</v>
      </c>
      <c r="AQ10" s="13">
        <f>'[2]Oct-Dec''25'!AV10+'[2]Apr-Sep''25'!AV10</f>
        <v>0</v>
      </c>
      <c r="AR10" s="13">
        <f>'[2]Oct-Dec''25'!AW10+'[2]Apr-Sep''25'!AW10</f>
        <v>0</v>
      </c>
      <c r="AS10" s="8" t="e">
        <f t="shared" si="70"/>
        <v>#DIV/0!</v>
      </c>
      <c r="AT10" s="13">
        <f>'[2]Oct-Dec''25'!AY10+'[2]Apr-Sep''25'!AY10</f>
        <v>0</v>
      </c>
      <c r="AU10" s="13">
        <f>'[2]Oct-Dec''25'!AZ10+'[2]Apr-Sep''25'!AZ10</f>
        <v>0</v>
      </c>
      <c r="AV10" s="8" t="e">
        <f t="shared" si="71"/>
        <v>#DIV/0!</v>
      </c>
      <c r="AW10" s="9">
        <f t="shared" si="72"/>
        <v>2326</v>
      </c>
      <c r="AX10" s="9">
        <f t="shared" si="73"/>
        <v>2291</v>
      </c>
      <c r="AY10" s="8">
        <f t="shared" si="74"/>
        <v>0.98495270851246775</v>
      </c>
      <c r="AZ10" s="13">
        <f>'[2]Oct-Dec''25'!BB10+'[2]Apr-Sep''25'!BB10</f>
        <v>1837</v>
      </c>
      <c r="BA10" s="13">
        <f>'[2]Oct-Dec''25'!BC10+'[2]Apr-Sep''25'!BC10</f>
        <v>152</v>
      </c>
      <c r="BB10" s="14">
        <f t="shared" si="75"/>
        <v>8.274360370168754E-2</v>
      </c>
      <c r="BC10" s="13">
        <f>'[2]Oct-Dec''25'!BE10+'[2]Apr-Sep''25'!BE10</f>
        <v>0</v>
      </c>
      <c r="BD10" s="13">
        <f>'[2]Oct-Dec''25'!BF10+'[2]Apr-Sep''25'!BF10</f>
        <v>0</v>
      </c>
      <c r="BE10" s="14">
        <f t="shared" si="76"/>
        <v>0</v>
      </c>
      <c r="BF10" s="13">
        <f>'[2]Oct-Dec''25'!BH10+'[2]Apr-Sep''25'!BH10</f>
        <v>38</v>
      </c>
      <c r="BG10" s="13">
        <f>'[2]Oct-Dec''25'!BI10+'[2]Apr-Sep''25'!BI10</f>
        <v>38</v>
      </c>
      <c r="BH10" s="14">
        <f t="shared" si="77"/>
        <v>1</v>
      </c>
      <c r="BI10" s="13">
        <f>'[2]Oct-Dec''25'!BK10+'[2]Apr-Sep''25'!BK10</f>
        <v>11</v>
      </c>
      <c r="BJ10" s="13">
        <f>'[2]Oct-Dec''25'!BL10+'[2]Apr-Sep''25'!BL10</f>
        <v>10</v>
      </c>
      <c r="BK10" s="15">
        <f t="shared" si="78"/>
        <v>0.90909090909090906</v>
      </c>
      <c r="BL10" s="13">
        <f>'[2]Oct-Dec''25'!BN10+'[2]Apr-Sep''25'!BN10</f>
        <v>12</v>
      </c>
      <c r="BM10" s="13">
        <f>'[2]Oct-Dec''25'!BO10+'[2]Apr-Sep''25'!BO10</f>
        <v>12</v>
      </c>
      <c r="BN10" s="15">
        <f t="shared" si="79"/>
        <v>1</v>
      </c>
      <c r="BO10" s="13">
        <f>'[2]Oct-Dec''25'!BQ10+'[2]Apr-Sep''25'!BQ10</f>
        <v>4</v>
      </c>
      <c r="BP10" s="13">
        <f>'[2]Oct-Dec''25'!BR10+'[2]Apr-Sep''25'!BR10</f>
        <v>6</v>
      </c>
      <c r="BQ10" s="15">
        <f t="shared" si="80"/>
        <v>1.5</v>
      </c>
      <c r="BR10" s="13">
        <f>'[2]Oct-Dec''25'!BT10+'[2]Apr-Sep''25'!BT10</f>
        <v>3</v>
      </c>
      <c r="BS10" s="13">
        <f>'[2]Oct-Dec''25'!BU10+'[2]Apr-Sep''25'!BU10</f>
        <v>1</v>
      </c>
      <c r="BT10" s="14">
        <f t="shared" si="81"/>
        <v>0.33333333333333331</v>
      </c>
      <c r="BU10" s="13">
        <f>'[2]Oct-Dec''25'!BW10+'[2]Apr-Sep''25'!BW10</f>
        <v>0</v>
      </c>
      <c r="BV10" s="13">
        <f>'[2]Oct-Dec''25'!BX10+'[2]Apr-Sep''25'!BX10</f>
        <v>0</v>
      </c>
      <c r="BW10" s="14">
        <f t="shared" si="82"/>
        <v>0</v>
      </c>
      <c r="BX10" s="13">
        <f>'[2]Oct-Dec''25'!BZ10+'[2]Apr-Sep''25'!BZ10</f>
        <v>1207</v>
      </c>
      <c r="BY10" s="13">
        <f>'[2]Oct-Dec''25'!CA10+'[2]Apr-Sep''25'!CA10</f>
        <v>988</v>
      </c>
      <c r="BZ10" s="14">
        <f t="shared" si="83"/>
        <v>0.81855840927920465</v>
      </c>
      <c r="CA10" s="13">
        <f>'[2]Oct-Dec''25'!CC10+'[2]Apr-Sep''25'!CC10</f>
        <v>10</v>
      </c>
      <c r="CB10" s="13">
        <f>'[2]Oct-Dec''25'!CD10+'[2]Apr-Sep''25'!CD10</f>
        <v>48</v>
      </c>
      <c r="CC10" s="14">
        <f t="shared" si="84"/>
        <v>4.8</v>
      </c>
      <c r="CD10" s="13">
        <f>'[2]Oct-Dec''25'!CF10+'[2]Apr-Sep''25'!CF10</f>
        <v>0</v>
      </c>
      <c r="CE10" s="13">
        <f>'[2]Oct-Dec''25'!CG10+'[2]Apr-Sep''25'!CG10</f>
        <v>0</v>
      </c>
      <c r="CF10" s="14">
        <f t="shared" si="85"/>
        <v>0</v>
      </c>
    </row>
    <row r="11" spans="1:84" x14ac:dyDescent="0.25">
      <c r="A11" s="12">
        <f>'[2]Oct-Dec''25'!A11</f>
        <v>5</v>
      </c>
      <c r="B11" s="12" t="str">
        <f>'[2]Oct-Dec''25'!B11</f>
        <v>CHRI</v>
      </c>
      <c r="C11" s="1" t="str">
        <f>'[2]Oct-Dec''25'!C11</f>
        <v>Bihar</v>
      </c>
      <c r="D11" s="3" t="str">
        <f>'[2]Oct-Dec''25'!D11</f>
        <v>BNP+</v>
      </c>
      <c r="E11" s="1" t="str">
        <f>'[2]Oct-Dec''25'!E11</f>
        <v>BHAGALPUR</v>
      </c>
      <c r="F11" s="12" t="s">
        <v>85</v>
      </c>
      <c r="G11" s="13">
        <f>'[2]Oct-Dec''25'!H11+'[2]Apr-Sep''25'!H11</f>
        <v>443</v>
      </c>
      <c r="H11" s="13">
        <f>'[2]Oct-Dec''25'!I11+'[2]Apr-Sep''25'!I11</f>
        <v>497</v>
      </c>
      <c r="I11" s="7">
        <f t="shared" si="59"/>
        <v>1.1218961625282167</v>
      </c>
      <c r="J11" s="13">
        <f>'[2]Oct-Dec''25'!K11+'[2]Apr-Sep''25'!K11</f>
        <v>444</v>
      </c>
      <c r="K11" s="13">
        <f>'[2]Oct-Dec''25'!L11+'[2]Apr-Sep''25'!L11</f>
        <v>444</v>
      </c>
      <c r="L11" s="7">
        <f t="shared" ref="L11:L25" si="86">K11/J11</f>
        <v>1</v>
      </c>
      <c r="M11" s="13">
        <f>'[2]Oct-Dec''25'!N11+'[2]Apr-Sep''25'!N11</f>
        <v>392</v>
      </c>
      <c r="N11" s="13">
        <f>'[2]Oct-Dec''25'!O11+'[2]Apr-Sep''25'!O11</f>
        <v>390</v>
      </c>
      <c r="O11" s="8">
        <f t="shared" si="60"/>
        <v>0.99489795918367352</v>
      </c>
      <c r="P11" s="13">
        <f>'[2]Oct-Dec''25'!Q11+'[2]Apr-Sep''25'!Q11</f>
        <v>348</v>
      </c>
      <c r="Q11" s="13">
        <f>'[2]Oct-Dec''25'!R11+'[2]Apr-Sep''25'!R11</f>
        <v>328</v>
      </c>
      <c r="R11" s="8">
        <f t="shared" si="61"/>
        <v>0.94252873563218387</v>
      </c>
      <c r="S11" s="13">
        <f>'[2]Oct-Dec''25'!T11+'[2]Apr-Sep''25'!T11</f>
        <v>1907</v>
      </c>
      <c r="T11" s="13">
        <f>'[2]Oct-Dec''25'!U11+'[2]Apr-Sep''25'!U11</f>
        <v>1615</v>
      </c>
      <c r="U11" s="8">
        <f t="shared" si="62"/>
        <v>0.84687991609858415</v>
      </c>
      <c r="V11" s="13">
        <f>'[2]Oct-Dec''25'!W11+'[2]Apr-Sep''25'!W11</f>
        <v>1340</v>
      </c>
      <c r="W11" s="13">
        <f>'[2]Oct-Dec''25'!Y11+'[2]Apr-Sep''25'!Y11</f>
        <v>993</v>
      </c>
      <c r="X11" s="8">
        <f t="shared" si="63"/>
        <v>0.741044776119403</v>
      </c>
      <c r="Y11" s="13">
        <f>'[2]Oct-Dec''25'!AA11+'[2]Apr-Sep''25'!AA11</f>
        <v>62</v>
      </c>
      <c r="Z11" s="13">
        <f>'[2]Oct-Dec''25'!AB11+'[2]Apr-Sep''25'!AB11</f>
        <v>62</v>
      </c>
      <c r="AA11" s="8">
        <f t="shared" si="64"/>
        <v>1</v>
      </c>
      <c r="AB11" s="13">
        <f>'[2]Oct-Dec''25'!AD11+'[2]Apr-Sep''25'!AD11</f>
        <v>9</v>
      </c>
      <c r="AC11" s="13">
        <f>'[2]Oct-Dec''25'!AE11+'[2]Apr-Sep''25'!AE11</f>
        <v>9</v>
      </c>
      <c r="AD11" s="8">
        <f t="shared" si="65"/>
        <v>1</v>
      </c>
      <c r="AE11" s="13">
        <f>'[2]Oct-Dec''25'!AJ11+'[2]Apr-Sep''25'!AJ11</f>
        <v>2189</v>
      </c>
      <c r="AF11" s="13">
        <f>'[2]Oct-Dec''25'!AK11+'[2]Apr-Sep''25'!AK11</f>
        <v>2004</v>
      </c>
      <c r="AG11" s="8">
        <f t="shared" si="66"/>
        <v>0.91548652352672455</v>
      </c>
      <c r="AH11" s="13">
        <f>'[2]Oct-Dec''25'!AM11+'[2]Apr-Sep''25'!AM11</f>
        <v>0</v>
      </c>
      <c r="AI11" s="13">
        <f>'[2]Oct-Dec''25'!AN11+'[2]Apr-Sep''25'!AN11</f>
        <v>0</v>
      </c>
      <c r="AJ11" s="8" t="e">
        <f t="shared" si="67"/>
        <v>#DIV/0!</v>
      </c>
      <c r="AK11" s="13">
        <f>'[2]Oct-Dec''25'!AP11+'[2]Apr-Sep''25'!AP11</f>
        <v>150</v>
      </c>
      <c r="AL11" s="13">
        <f>'[2]Oct-Dec''25'!AQ11+'[2]Apr-Sep''25'!AQ11</f>
        <v>128</v>
      </c>
      <c r="AM11" s="8">
        <f t="shared" si="68"/>
        <v>0.85333333333333339</v>
      </c>
      <c r="AN11" s="13">
        <f>'[2]Oct-Dec''25'!AS11+'[2]Apr-Sep''25'!AS11</f>
        <v>83</v>
      </c>
      <c r="AO11" s="13">
        <f>'[2]Oct-Dec''25'!AT11+'[2]Apr-Sep''25'!AT11</f>
        <v>79</v>
      </c>
      <c r="AP11" s="8">
        <f t="shared" si="69"/>
        <v>0.95180722891566261</v>
      </c>
      <c r="AQ11" s="13">
        <f>'[2]Oct-Dec''25'!AV11+'[2]Apr-Sep''25'!AV11</f>
        <v>0</v>
      </c>
      <c r="AR11" s="13">
        <f>'[2]Oct-Dec''25'!AW11+'[2]Apr-Sep''25'!AW11</f>
        <v>0</v>
      </c>
      <c r="AS11" s="8" t="e">
        <f t="shared" si="70"/>
        <v>#DIV/0!</v>
      </c>
      <c r="AT11" s="13">
        <f>'[2]Oct-Dec''25'!AY11+'[2]Apr-Sep''25'!AY11</f>
        <v>163</v>
      </c>
      <c r="AU11" s="13">
        <f>'[2]Oct-Dec''25'!AZ11+'[2]Apr-Sep''25'!AZ11</f>
        <v>163</v>
      </c>
      <c r="AV11" s="8">
        <f t="shared" si="71"/>
        <v>1</v>
      </c>
      <c r="AW11" s="9">
        <f t="shared" si="72"/>
        <v>246</v>
      </c>
      <c r="AX11" s="9">
        <f t="shared" si="73"/>
        <v>242</v>
      </c>
      <c r="AY11" s="8">
        <f t="shared" si="74"/>
        <v>0.98373983739837401</v>
      </c>
      <c r="AZ11" s="13">
        <f>'[2]Oct-Dec''25'!BB11+'[2]Apr-Sep''25'!BB11</f>
        <v>96</v>
      </c>
      <c r="BA11" s="13">
        <f>'[2]Oct-Dec''25'!BC11+'[2]Apr-Sep''25'!BC11</f>
        <v>91</v>
      </c>
      <c r="BB11" s="14">
        <f t="shared" si="75"/>
        <v>0.94791666666666663</v>
      </c>
      <c r="BC11" s="13">
        <f>'[2]Oct-Dec''25'!BE11+'[2]Apr-Sep''25'!BE11</f>
        <v>24</v>
      </c>
      <c r="BD11" s="13">
        <f>'[2]Oct-Dec''25'!BF11+'[2]Apr-Sep''25'!BF11</f>
        <v>24</v>
      </c>
      <c r="BE11" s="14">
        <f t="shared" si="76"/>
        <v>1</v>
      </c>
      <c r="BF11" s="13">
        <f>'[2]Oct-Dec''25'!BH11+'[2]Apr-Sep''25'!BH11</f>
        <v>20</v>
      </c>
      <c r="BG11" s="13">
        <f>'[2]Oct-Dec''25'!BI11+'[2]Apr-Sep''25'!BI11</f>
        <v>20</v>
      </c>
      <c r="BH11" s="14">
        <f t="shared" si="77"/>
        <v>1</v>
      </c>
      <c r="BI11" s="13">
        <f>'[2]Oct-Dec''25'!BK11+'[2]Apr-Sep''25'!BK11</f>
        <v>32</v>
      </c>
      <c r="BJ11" s="13">
        <f>'[2]Oct-Dec''25'!BL11+'[2]Apr-Sep''25'!BL11</f>
        <v>36</v>
      </c>
      <c r="BK11" s="15">
        <f t="shared" si="78"/>
        <v>1.125</v>
      </c>
      <c r="BL11" s="13">
        <f>'[2]Oct-Dec''25'!BN11+'[2]Apr-Sep''25'!BN11</f>
        <v>20</v>
      </c>
      <c r="BM11" s="13">
        <f>'[2]Oct-Dec''25'!BO11+'[2]Apr-Sep''25'!BO11</f>
        <v>20</v>
      </c>
      <c r="BN11" s="15">
        <f t="shared" si="79"/>
        <v>1</v>
      </c>
      <c r="BO11" s="13">
        <f>'[2]Oct-Dec''25'!BQ11+'[2]Apr-Sep''25'!BQ11</f>
        <v>25</v>
      </c>
      <c r="BP11" s="13">
        <f>'[2]Oct-Dec''25'!BR11+'[2]Apr-Sep''25'!BR11</f>
        <v>24</v>
      </c>
      <c r="BQ11" s="15">
        <f t="shared" si="80"/>
        <v>0.96</v>
      </c>
      <c r="BR11" s="13">
        <f>'[2]Oct-Dec''25'!BT11+'[2]Apr-Sep''25'!BT11</f>
        <v>37</v>
      </c>
      <c r="BS11" s="13">
        <f>'[2]Oct-Dec''25'!BU11+'[2]Apr-Sep''25'!BU11</f>
        <v>34</v>
      </c>
      <c r="BT11" s="14">
        <f t="shared" si="81"/>
        <v>0.91891891891891897</v>
      </c>
      <c r="BU11" s="13">
        <f>'[2]Oct-Dec''25'!BW11+'[2]Apr-Sep''25'!BW11</f>
        <v>0</v>
      </c>
      <c r="BV11" s="13">
        <f>'[2]Oct-Dec''25'!BX11+'[2]Apr-Sep''25'!BX11</f>
        <v>0</v>
      </c>
      <c r="BW11" s="14">
        <f t="shared" si="82"/>
        <v>0</v>
      </c>
      <c r="BX11" s="13">
        <f>'[2]Oct-Dec''25'!BZ11+'[2]Apr-Sep''25'!BZ11</f>
        <v>497</v>
      </c>
      <c r="BY11" s="13">
        <f>'[2]Oct-Dec''25'!CA11+'[2]Apr-Sep''25'!CA11</f>
        <v>1278</v>
      </c>
      <c r="BZ11" s="14">
        <f t="shared" si="83"/>
        <v>2.5714285714285716</v>
      </c>
      <c r="CA11" s="13">
        <f>'[2]Oct-Dec''25'!CC11+'[2]Apr-Sep''25'!CC11</f>
        <v>72</v>
      </c>
      <c r="CB11" s="13">
        <f>'[2]Oct-Dec''25'!CD11+'[2]Apr-Sep''25'!CD11</f>
        <v>71</v>
      </c>
      <c r="CC11" s="14">
        <f t="shared" si="84"/>
        <v>0.98611111111111116</v>
      </c>
      <c r="CD11" s="13">
        <f>'[2]Oct-Dec''25'!CF11+'[2]Apr-Sep''25'!CF11</f>
        <v>0</v>
      </c>
      <c r="CE11" s="13">
        <f>'[2]Oct-Dec''25'!CG11+'[2]Apr-Sep''25'!CG11</f>
        <v>0</v>
      </c>
      <c r="CF11" s="14">
        <f t="shared" si="85"/>
        <v>0</v>
      </c>
    </row>
    <row r="12" spans="1:84" x14ac:dyDescent="0.25">
      <c r="A12" s="12">
        <f>'[2]Oct-Dec''25'!A12</f>
        <v>6</v>
      </c>
      <c r="B12" s="12" t="str">
        <f>'[2]Oct-Dec''25'!B12</f>
        <v>CHRI</v>
      </c>
      <c r="C12" s="1" t="str">
        <f>'[2]Oct-Dec''25'!C12</f>
        <v>Bihar</v>
      </c>
      <c r="D12" s="3" t="str">
        <f>'[2]Oct-Dec''25'!D12</f>
        <v>BNP+</v>
      </c>
      <c r="E12" s="1" t="str">
        <f>'[2]Oct-Dec''25'!E12</f>
        <v>DARBHANGA</v>
      </c>
      <c r="F12" s="12" t="s">
        <v>85</v>
      </c>
      <c r="G12" s="13">
        <f>'[2]Oct-Dec''25'!H12+'[2]Apr-Sep''25'!H12</f>
        <v>250</v>
      </c>
      <c r="H12" s="13">
        <f>'[2]Oct-Dec''25'!I12+'[2]Apr-Sep''25'!I12</f>
        <v>240</v>
      </c>
      <c r="I12" s="7">
        <f t="shared" si="59"/>
        <v>0.96</v>
      </c>
      <c r="J12" s="13">
        <f>'[2]Oct-Dec''25'!K12+'[2]Apr-Sep''25'!K12</f>
        <v>192</v>
      </c>
      <c r="K12" s="13">
        <f>'[2]Oct-Dec''25'!L12+'[2]Apr-Sep''25'!L12</f>
        <v>189</v>
      </c>
      <c r="L12" s="7">
        <f t="shared" si="86"/>
        <v>0.984375</v>
      </c>
      <c r="M12" s="13">
        <f>'[2]Oct-Dec''25'!N12+'[2]Apr-Sep''25'!N12</f>
        <v>247</v>
      </c>
      <c r="N12" s="13">
        <f>'[2]Oct-Dec''25'!O12+'[2]Apr-Sep''25'!O12</f>
        <v>247</v>
      </c>
      <c r="O12" s="8">
        <f t="shared" si="60"/>
        <v>1</v>
      </c>
      <c r="P12" s="13">
        <f>'[2]Oct-Dec''25'!Q12+'[2]Apr-Sep''25'!Q12</f>
        <v>220</v>
      </c>
      <c r="Q12" s="13">
        <f>'[2]Oct-Dec''25'!R12+'[2]Apr-Sep''25'!R12</f>
        <v>202</v>
      </c>
      <c r="R12" s="8">
        <f t="shared" si="61"/>
        <v>0.91818181818181821</v>
      </c>
      <c r="S12" s="13">
        <f>'[2]Oct-Dec''25'!T12+'[2]Apr-Sep''25'!T12</f>
        <v>1167</v>
      </c>
      <c r="T12" s="13">
        <f>'[2]Oct-Dec''25'!U12+'[2]Apr-Sep''25'!U12</f>
        <v>1053</v>
      </c>
      <c r="U12" s="8">
        <f t="shared" si="62"/>
        <v>0.90231362467866327</v>
      </c>
      <c r="V12" s="13">
        <f>'[2]Oct-Dec''25'!W12+'[2]Apr-Sep''25'!W12</f>
        <v>355</v>
      </c>
      <c r="W12" s="13">
        <f>'[2]Oct-Dec''25'!Y12+'[2]Apr-Sep''25'!Y12</f>
        <v>308</v>
      </c>
      <c r="X12" s="8">
        <f t="shared" si="63"/>
        <v>0.86760563380281686</v>
      </c>
      <c r="Y12" s="13">
        <f>'[2]Oct-Dec''25'!AA12+'[2]Apr-Sep''25'!AA12</f>
        <v>0</v>
      </c>
      <c r="Z12" s="13">
        <f>'[2]Oct-Dec''25'!AB12+'[2]Apr-Sep''25'!AB12</f>
        <v>0</v>
      </c>
      <c r="AA12" s="8" t="e">
        <f t="shared" si="64"/>
        <v>#DIV/0!</v>
      </c>
      <c r="AB12" s="13">
        <f>'[2]Oct-Dec''25'!AD12+'[2]Apr-Sep''25'!AD12</f>
        <v>0</v>
      </c>
      <c r="AC12" s="13">
        <f>'[2]Oct-Dec''25'!AE12+'[2]Apr-Sep''25'!AE12</f>
        <v>0</v>
      </c>
      <c r="AD12" s="8" t="e">
        <f t="shared" si="65"/>
        <v>#DIV/0!</v>
      </c>
      <c r="AE12" s="13">
        <f>'[2]Oct-Dec''25'!AJ12+'[2]Apr-Sep''25'!AJ12</f>
        <v>916</v>
      </c>
      <c r="AF12" s="13">
        <f>'[2]Oct-Dec''25'!AK12+'[2]Apr-Sep''25'!AK12</f>
        <v>915</v>
      </c>
      <c r="AG12" s="8">
        <f t="shared" si="66"/>
        <v>0.99890829694323147</v>
      </c>
      <c r="AH12" s="13">
        <f>'[2]Oct-Dec''25'!AM12+'[2]Apr-Sep''25'!AM12</f>
        <v>0</v>
      </c>
      <c r="AI12" s="13">
        <f>'[2]Oct-Dec''25'!AN12+'[2]Apr-Sep''25'!AN12</f>
        <v>0</v>
      </c>
      <c r="AJ12" s="8" t="e">
        <f t="shared" si="67"/>
        <v>#DIV/0!</v>
      </c>
      <c r="AK12" s="13">
        <f>'[2]Oct-Dec''25'!AP12+'[2]Apr-Sep''25'!AP12</f>
        <v>81</v>
      </c>
      <c r="AL12" s="13">
        <f>'[2]Oct-Dec''25'!AQ12+'[2]Apr-Sep''25'!AQ12</f>
        <v>42</v>
      </c>
      <c r="AM12" s="8">
        <f t="shared" si="68"/>
        <v>0.51851851851851849</v>
      </c>
      <c r="AN12" s="13">
        <f>'[2]Oct-Dec''25'!AS12+'[2]Apr-Sep''25'!AS12</f>
        <v>56</v>
      </c>
      <c r="AO12" s="13">
        <f>'[2]Oct-Dec''25'!AT12+'[2]Apr-Sep''25'!AT12</f>
        <v>40</v>
      </c>
      <c r="AP12" s="8">
        <f t="shared" si="69"/>
        <v>0.7142857142857143</v>
      </c>
      <c r="AQ12" s="13">
        <f>'[2]Oct-Dec''25'!AV12+'[2]Apr-Sep''25'!AV12</f>
        <v>0</v>
      </c>
      <c r="AR12" s="13">
        <f>'[2]Oct-Dec''25'!AW12+'[2]Apr-Sep''25'!AW12</f>
        <v>0</v>
      </c>
      <c r="AS12" s="8" t="e">
        <f t="shared" si="70"/>
        <v>#DIV/0!</v>
      </c>
      <c r="AT12" s="13">
        <f>'[2]Oct-Dec''25'!AY12+'[2]Apr-Sep''25'!AY12</f>
        <v>91</v>
      </c>
      <c r="AU12" s="13">
        <f>'[2]Oct-Dec''25'!AZ12+'[2]Apr-Sep''25'!AZ12</f>
        <v>78</v>
      </c>
      <c r="AV12" s="8">
        <f t="shared" si="71"/>
        <v>0.8571428571428571</v>
      </c>
      <c r="AW12" s="9">
        <f t="shared" si="72"/>
        <v>147</v>
      </c>
      <c r="AX12" s="9">
        <f t="shared" si="73"/>
        <v>118</v>
      </c>
      <c r="AY12" s="8">
        <f t="shared" si="74"/>
        <v>0.80272108843537415</v>
      </c>
      <c r="AZ12" s="13">
        <f>'[2]Oct-Dec''25'!BB12+'[2]Apr-Sep''25'!BB12</f>
        <v>69</v>
      </c>
      <c r="BA12" s="13">
        <f>'[2]Oct-Dec''25'!BC12+'[2]Apr-Sep''25'!BC12</f>
        <v>57</v>
      </c>
      <c r="BB12" s="14">
        <f t="shared" si="75"/>
        <v>0.82608695652173914</v>
      </c>
      <c r="BC12" s="13">
        <f>'[2]Oct-Dec''25'!BE12+'[2]Apr-Sep''25'!BE12</f>
        <v>9</v>
      </c>
      <c r="BD12" s="13">
        <f>'[2]Oct-Dec''25'!BF12+'[2]Apr-Sep''25'!BF12</f>
        <v>9</v>
      </c>
      <c r="BE12" s="14">
        <f t="shared" si="76"/>
        <v>1</v>
      </c>
      <c r="BF12" s="13">
        <f>'[2]Oct-Dec''25'!BH12+'[2]Apr-Sep''25'!BH12</f>
        <v>10</v>
      </c>
      <c r="BG12" s="13">
        <f>'[2]Oct-Dec''25'!BI12+'[2]Apr-Sep''25'!BI12</f>
        <v>10</v>
      </c>
      <c r="BH12" s="14">
        <f t="shared" si="77"/>
        <v>1</v>
      </c>
      <c r="BI12" s="13">
        <f>'[2]Oct-Dec''25'!BK12+'[2]Apr-Sep''25'!BK12</f>
        <v>20</v>
      </c>
      <c r="BJ12" s="13">
        <f>'[2]Oct-Dec''25'!BL12+'[2]Apr-Sep''25'!BL12</f>
        <v>19</v>
      </c>
      <c r="BK12" s="15">
        <f t="shared" si="78"/>
        <v>0.95</v>
      </c>
      <c r="BL12" s="13">
        <f>'[2]Oct-Dec''25'!BN12+'[2]Apr-Sep''25'!BN12</f>
        <v>8</v>
      </c>
      <c r="BM12" s="13">
        <f>'[2]Oct-Dec''25'!BO12+'[2]Apr-Sep''25'!BO12</f>
        <v>7</v>
      </c>
      <c r="BN12" s="15">
        <f t="shared" si="79"/>
        <v>0.875</v>
      </c>
      <c r="BO12" s="13">
        <f>'[2]Oct-Dec''25'!BQ12+'[2]Apr-Sep''25'!BQ12</f>
        <v>7</v>
      </c>
      <c r="BP12" s="13">
        <f>'[2]Oct-Dec''25'!BR12+'[2]Apr-Sep''25'!BR12</f>
        <v>6</v>
      </c>
      <c r="BQ12" s="15">
        <f t="shared" si="80"/>
        <v>0.8571428571428571</v>
      </c>
      <c r="BR12" s="13">
        <f>'[2]Oct-Dec''25'!BT12+'[2]Apr-Sep''25'!BT12</f>
        <v>13</v>
      </c>
      <c r="BS12" s="13">
        <f>'[2]Oct-Dec''25'!BU12+'[2]Apr-Sep''25'!BU12</f>
        <v>13</v>
      </c>
      <c r="BT12" s="14">
        <f t="shared" si="81"/>
        <v>1</v>
      </c>
      <c r="BU12" s="13">
        <f>'[2]Oct-Dec''25'!BW12+'[2]Apr-Sep''25'!BW12</f>
        <v>0</v>
      </c>
      <c r="BV12" s="13">
        <f>'[2]Oct-Dec''25'!BX12+'[2]Apr-Sep''25'!BX12</f>
        <v>0</v>
      </c>
      <c r="BW12" s="14">
        <f t="shared" si="82"/>
        <v>0</v>
      </c>
      <c r="BX12" s="13">
        <f>'[2]Oct-Dec''25'!BZ12+'[2]Apr-Sep''25'!BZ12</f>
        <v>240</v>
      </c>
      <c r="BY12" s="13">
        <f>'[2]Oct-Dec''25'!CA12+'[2]Apr-Sep''25'!CA12</f>
        <v>244</v>
      </c>
      <c r="BZ12" s="14">
        <f t="shared" si="83"/>
        <v>1.0166666666666666</v>
      </c>
      <c r="CA12" s="13">
        <f>'[2]Oct-Dec''25'!CC12+'[2]Apr-Sep''25'!CC12</f>
        <v>48</v>
      </c>
      <c r="CB12" s="13">
        <f>'[2]Oct-Dec''25'!CD12+'[2]Apr-Sep''25'!CD12</f>
        <v>48</v>
      </c>
      <c r="CC12" s="14">
        <f t="shared" si="84"/>
        <v>1</v>
      </c>
      <c r="CD12" s="13">
        <f>'[2]Oct-Dec''25'!CF12+'[2]Apr-Sep''25'!CF12</f>
        <v>7</v>
      </c>
      <c r="CE12" s="13">
        <f>'[2]Oct-Dec''25'!CG12+'[2]Apr-Sep''25'!CG12</f>
        <v>7</v>
      </c>
      <c r="CF12" s="14">
        <f t="shared" si="85"/>
        <v>1</v>
      </c>
    </row>
    <row r="13" spans="1:84" x14ac:dyDescent="0.25">
      <c r="A13" s="12">
        <f>'[2]Oct-Dec''25'!A13</f>
        <v>7</v>
      </c>
      <c r="B13" s="12" t="str">
        <f>'[2]Oct-Dec''25'!B13</f>
        <v>CHRI</v>
      </c>
      <c r="C13" s="1" t="str">
        <f>'[2]Oct-Dec''25'!C13</f>
        <v>Bihar</v>
      </c>
      <c r="D13" s="3" t="str">
        <f>'[2]Oct-Dec''25'!D13</f>
        <v>BJUP JEEVAN JYOTHI</v>
      </c>
      <c r="E13" s="1" t="str">
        <f>'[2]Oct-Dec''25'!E13</f>
        <v>GAYA</v>
      </c>
      <c r="F13" s="12" t="s">
        <v>85</v>
      </c>
      <c r="G13" s="13">
        <f>'[2]Oct-Dec''25'!H13+'[2]Apr-Sep''25'!H13</f>
        <v>350</v>
      </c>
      <c r="H13" s="13">
        <f>'[2]Oct-Dec''25'!I13+'[2]Apr-Sep''25'!I13</f>
        <v>317</v>
      </c>
      <c r="I13" s="7">
        <f t="shared" si="59"/>
        <v>0.90571428571428569</v>
      </c>
      <c r="J13" s="13">
        <f>'[2]Oct-Dec''25'!K13+'[2]Apr-Sep''25'!K13</f>
        <v>264</v>
      </c>
      <c r="K13" s="13">
        <f>'[2]Oct-Dec''25'!L13+'[2]Apr-Sep''25'!L13</f>
        <v>235</v>
      </c>
      <c r="L13" s="7">
        <f t="shared" si="86"/>
        <v>0.89015151515151514</v>
      </c>
      <c r="M13" s="13">
        <f>'[2]Oct-Dec''25'!N13+'[2]Apr-Sep''25'!N13</f>
        <v>318</v>
      </c>
      <c r="N13" s="13">
        <f>'[2]Oct-Dec''25'!O13+'[2]Apr-Sep''25'!O13</f>
        <v>314</v>
      </c>
      <c r="O13" s="8">
        <f t="shared" si="60"/>
        <v>0.98742138364779874</v>
      </c>
      <c r="P13" s="13">
        <f>'[2]Oct-Dec''25'!Q13+'[2]Apr-Sep''25'!Q13</f>
        <v>294</v>
      </c>
      <c r="Q13" s="13">
        <f>'[2]Oct-Dec''25'!R13+'[2]Apr-Sep''25'!R13</f>
        <v>261</v>
      </c>
      <c r="R13" s="8">
        <f t="shared" si="61"/>
        <v>0.88775510204081631</v>
      </c>
      <c r="S13" s="13">
        <f>'[2]Oct-Dec''25'!T13+'[2]Apr-Sep''25'!T13</f>
        <v>948</v>
      </c>
      <c r="T13" s="13">
        <f>'[2]Oct-Dec''25'!U13+'[2]Apr-Sep''25'!U13</f>
        <v>730</v>
      </c>
      <c r="U13" s="8">
        <f t="shared" si="62"/>
        <v>0.77004219409282704</v>
      </c>
      <c r="V13" s="13">
        <f>'[2]Oct-Dec''25'!W13+'[2]Apr-Sep''25'!W13</f>
        <v>431</v>
      </c>
      <c r="W13" s="13">
        <f>'[2]Oct-Dec''25'!Y13+'[2]Apr-Sep''25'!Y13</f>
        <v>360</v>
      </c>
      <c r="X13" s="8">
        <f t="shared" si="63"/>
        <v>0.83526682134570762</v>
      </c>
      <c r="Y13" s="13">
        <f>'[2]Oct-Dec''25'!AA13+'[2]Apr-Sep''25'!AA13</f>
        <v>4</v>
      </c>
      <c r="Z13" s="13">
        <f>'[2]Oct-Dec''25'!AB13+'[2]Apr-Sep''25'!AB13</f>
        <v>4</v>
      </c>
      <c r="AA13" s="8">
        <f t="shared" si="64"/>
        <v>1</v>
      </c>
      <c r="AB13" s="13">
        <f>'[2]Oct-Dec''25'!AD13+'[2]Apr-Sep''25'!AD13</f>
        <v>10</v>
      </c>
      <c r="AC13" s="13">
        <f>'[2]Oct-Dec''25'!AE13+'[2]Apr-Sep''25'!AE13</f>
        <v>5</v>
      </c>
      <c r="AD13" s="8">
        <f t="shared" si="65"/>
        <v>0.5</v>
      </c>
      <c r="AE13" s="13">
        <f>'[2]Oct-Dec''25'!AJ13+'[2]Apr-Sep''25'!AJ13</f>
        <v>1602</v>
      </c>
      <c r="AF13" s="13">
        <f>'[2]Oct-Dec''25'!AK13+'[2]Apr-Sep''25'!AK13</f>
        <v>1578</v>
      </c>
      <c r="AG13" s="8">
        <f t="shared" si="66"/>
        <v>0.98501872659176026</v>
      </c>
      <c r="AH13" s="13">
        <f>'[2]Oct-Dec''25'!AM13+'[2]Apr-Sep''25'!AM13</f>
        <v>0</v>
      </c>
      <c r="AI13" s="13">
        <f>'[2]Oct-Dec''25'!AN13+'[2]Apr-Sep''25'!AN13</f>
        <v>0</v>
      </c>
      <c r="AJ13" s="8" t="e">
        <f t="shared" si="67"/>
        <v>#DIV/0!</v>
      </c>
      <c r="AK13" s="13">
        <f>'[2]Oct-Dec''25'!AP13+'[2]Apr-Sep''25'!AP13</f>
        <v>44</v>
      </c>
      <c r="AL13" s="13">
        <f>'[2]Oct-Dec''25'!AQ13+'[2]Apr-Sep''25'!AQ13</f>
        <v>32</v>
      </c>
      <c r="AM13" s="8">
        <f t="shared" si="68"/>
        <v>0.72727272727272729</v>
      </c>
      <c r="AN13" s="13">
        <f>'[2]Oct-Dec''25'!AS13+'[2]Apr-Sep''25'!AS13</f>
        <v>74</v>
      </c>
      <c r="AO13" s="13">
        <f>'[2]Oct-Dec''25'!AT13+'[2]Apr-Sep''25'!AT13</f>
        <v>74</v>
      </c>
      <c r="AP13" s="8">
        <f t="shared" si="69"/>
        <v>1</v>
      </c>
      <c r="AQ13" s="13">
        <f>'[2]Oct-Dec''25'!AV13+'[2]Apr-Sep''25'!AV13</f>
        <v>0</v>
      </c>
      <c r="AR13" s="13">
        <f>'[2]Oct-Dec''25'!AW13+'[2]Apr-Sep''25'!AW13</f>
        <v>0</v>
      </c>
      <c r="AS13" s="8" t="e">
        <f t="shared" si="70"/>
        <v>#DIV/0!</v>
      </c>
      <c r="AT13" s="13">
        <f>'[2]Oct-Dec''25'!AY13+'[2]Apr-Sep''25'!AY13</f>
        <v>177</v>
      </c>
      <c r="AU13" s="13">
        <f>'[2]Oct-Dec''25'!AZ13+'[2]Apr-Sep''25'!AZ13</f>
        <v>177</v>
      </c>
      <c r="AV13" s="8">
        <f t="shared" si="71"/>
        <v>1</v>
      </c>
      <c r="AW13" s="9">
        <f t="shared" si="72"/>
        <v>251</v>
      </c>
      <c r="AX13" s="9">
        <f t="shared" si="73"/>
        <v>251</v>
      </c>
      <c r="AY13" s="8">
        <f t="shared" si="74"/>
        <v>1</v>
      </c>
      <c r="AZ13" s="13">
        <f>'[2]Oct-Dec''25'!BB13+'[2]Apr-Sep''25'!BB13</f>
        <v>176</v>
      </c>
      <c r="BA13" s="13">
        <f>'[2]Oct-Dec''25'!BC13+'[2]Apr-Sep''25'!BC13</f>
        <v>176</v>
      </c>
      <c r="BB13" s="14">
        <f t="shared" si="75"/>
        <v>1</v>
      </c>
      <c r="BC13" s="13">
        <f>'[2]Oct-Dec''25'!BE13+'[2]Apr-Sep''25'!BE13</f>
        <v>17</v>
      </c>
      <c r="BD13" s="13">
        <f>'[2]Oct-Dec''25'!BF13+'[2]Apr-Sep''25'!BF13</f>
        <v>17</v>
      </c>
      <c r="BE13" s="14">
        <f t="shared" si="76"/>
        <v>1</v>
      </c>
      <c r="BF13" s="13">
        <f>'[2]Oct-Dec''25'!BH13+'[2]Apr-Sep''25'!BH13</f>
        <v>25</v>
      </c>
      <c r="BG13" s="13">
        <f>'[2]Oct-Dec''25'!BI13+'[2]Apr-Sep''25'!BI13</f>
        <v>25</v>
      </c>
      <c r="BH13" s="14">
        <f t="shared" si="77"/>
        <v>1</v>
      </c>
      <c r="BI13" s="13">
        <f>'[2]Oct-Dec''25'!BK13+'[2]Apr-Sep''25'!BK13</f>
        <v>55</v>
      </c>
      <c r="BJ13" s="13">
        <f>'[2]Oct-Dec''25'!BL13+'[2]Apr-Sep''25'!BL13</f>
        <v>53</v>
      </c>
      <c r="BK13" s="15">
        <f t="shared" si="78"/>
        <v>0.96363636363636362</v>
      </c>
      <c r="BL13" s="13">
        <f>'[2]Oct-Dec''25'!BN13+'[2]Apr-Sep''25'!BN13</f>
        <v>36</v>
      </c>
      <c r="BM13" s="13">
        <f>'[2]Oct-Dec''25'!BO13+'[2]Apr-Sep''25'!BO13</f>
        <v>35</v>
      </c>
      <c r="BN13" s="15">
        <f t="shared" si="79"/>
        <v>0.97222222222222221</v>
      </c>
      <c r="BO13" s="13">
        <f>'[2]Oct-Dec''25'!BQ13+'[2]Apr-Sep''25'!BQ13</f>
        <v>34</v>
      </c>
      <c r="BP13" s="13">
        <f>'[2]Oct-Dec''25'!BR13+'[2]Apr-Sep''25'!BR13</f>
        <v>33</v>
      </c>
      <c r="BQ13" s="15">
        <f t="shared" si="80"/>
        <v>0.97058823529411764</v>
      </c>
      <c r="BR13" s="13">
        <f>'[2]Oct-Dec''25'!BT13+'[2]Apr-Sep''25'!BT13</f>
        <v>57</v>
      </c>
      <c r="BS13" s="13">
        <f>'[2]Oct-Dec''25'!BU13+'[2]Apr-Sep''25'!BU13</f>
        <v>53</v>
      </c>
      <c r="BT13" s="14">
        <f t="shared" si="81"/>
        <v>0.92982456140350878</v>
      </c>
      <c r="BU13" s="13">
        <f>'[2]Oct-Dec''25'!BW13+'[2]Apr-Sep''25'!BW13</f>
        <v>0</v>
      </c>
      <c r="BV13" s="13">
        <f>'[2]Oct-Dec''25'!BX13+'[2]Apr-Sep''25'!BX13</f>
        <v>0</v>
      </c>
      <c r="BW13" s="14">
        <f t="shared" si="82"/>
        <v>0</v>
      </c>
      <c r="BX13" s="13">
        <f>'[2]Oct-Dec''25'!BZ13+'[2]Apr-Sep''25'!BZ13</f>
        <v>317</v>
      </c>
      <c r="BY13" s="13">
        <f>'[2]Oct-Dec''25'!CA13+'[2]Apr-Sep''25'!CA13</f>
        <v>317</v>
      </c>
      <c r="BZ13" s="14">
        <f t="shared" si="83"/>
        <v>1</v>
      </c>
      <c r="CA13" s="13">
        <f>'[2]Oct-Dec''25'!CC13+'[2]Apr-Sep''25'!CC13</f>
        <v>42</v>
      </c>
      <c r="CB13" s="13">
        <f>'[2]Oct-Dec''25'!CD13+'[2]Apr-Sep''25'!CD13</f>
        <v>34</v>
      </c>
      <c r="CC13" s="14">
        <f t="shared" si="84"/>
        <v>0.80952380952380953</v>
      </c>
      <c r="CD13" s="13">
        <f>'[2]Oct-Dec''25'!CF13+'[2]Apr-Sep''25'!CF13</f>
        <v>0</v>
      </c>
      <c r="CE13" s="13">
        <f>'[2]Oct-Dec''25'!CG13+'[2]Apr-Sep''25'!CG13</f>
        <v>0</v>
      </c>
      <c r="CF13" s="14">
        <f t="shared" si="85"/>
        <v>0</v>
      </c>
    </row>
    <row r="14" spans="1:84" x14ac:dyDescent="0.25">
      <c r="A14" s="12">
        <f>'[2]Oct-Dec''25'!A14</f>
        <v>8</v>
      </c>
      <c r="B14" s="12" t="str">
        <f>'[2]Oct-Dec''25'!B14</f>
        <v>CHRI</v>
      </c>
      <c r="C14" s="1" t="str">
        <f>'[2]Oct-Dec''25'!C14</f>
        <v>Bihar</v>
      </c>
      <c r="D14" s="3" t="str">
        <f>'[2]Oct-Dec''25'!D14</f>
        <v>KNP+</v>
      </c>
      <c r="E14" s="1" t="str">
        <f>'[2]Oct-Dec''25'!E14</f>
        <v>KATIHAR</v>
      </c>
      <c r="F14" s="12" t="s">
        <v>85</v>
      </c>
      <c r="G14" s="13">
        <f>'[2]Oct-Dec''25'!H14+'[2]Apr-Sep''25'!H14</f>
        <v>623</v>
      </c>
      <c r="H14" s="13">
        <f>'[2]Oct-Dec''25'!I14+'[2]Apr-Sep''25'!I14</f>
        <v>487</v>
      </c>
      <c r="I14" s="7">
        <f t="shared" si="59"/>
        <v>0.7817014446227929</v>
      </c>
      <c r="J14" s="13">
        <f>'[2]Oct-Dec''25'!K14+'[2]Apr-Sep''25'!K14</f>
        <v>397</v>
      </c>
      <c r="K14" s="13">
        <f>'[2]Oct-Dec''25'!L14+'[2]Apr-Sep''25'!L14</f>
        <v>390</v>
      </c>
      <c r="L14" s="7">
        <f t="shared" si="86"/>
        <v>0.98236775818639799</v>
      </c>
      <c r="M14" s="13">
        <f>'[2]Oct-Dec''25'!N14+'[2]Apr-Sep''25'!N14</f>
        <v>465</v>
      </c>
      <c r="N14" s="13">
        <f>'[2]Oct-Dec''25'!O14+'[2]Apr-Sep''25'!O14</f>
        <v>465</v>
      </c>
      <c r="O14" s="8">
        <f t="shared" si="60"/>
        <v>1</v>
      </c>
      <c r="P14" s="13">
        <f>'[2]Oct-Dec''25'!Q14+'[2]Apr-Sep''25'!Q14</f>
        <v>432</v>
      </c>
      <c r="Q14" s="13">
        <f>'[2]Oct-Dec''25'!R14+'[2]Apr-Sep''25'!R14</f>
        <v>332</v>
      </c>
      <c r="R14" s="8">
        <f t="shared" si="61"/>
        <v>0.76851851851851849</v>
      </c>
      <c r="S14" s="13">
        <f>'[2]Oct-Dec''25'!T14+'[2]Apr-Sep''25'!T14</f>
        <v>706</v>
      </c>
      <c r="T14" s="13">
        <f>'[2]Oct-Dec''25'!U14+'[2]Apr-Sep''25'!U14</f>
        <v>702</v>
      </c>
      <c r="U14" s="8">
        <f t="shared" si="62"/>
        <v>0.99433427762039661</v>
      </c>
      <c r="V14" s="13">
        <f>'[2]Oct-Dec''25'!W14+'[2]Apr-Sep''25'!W14</f>
        <v>673</v>
      </c>
      <c r="W14" s="13">
        <f>'[2]Oct-Dec''25'!Y14+'[2]Apr-Sep''25'!Y14</f>
        <v>652</v>
      </c>
      <c r="X14" s="8">
        <f t="shared" si="63"/>
        <v>0.9687964338781575</v>
      </c>
      <c r="Y14" s="13">
        <f>'[2]Oct-Dec''25'!AA14+'[2]Apr-Sep''25'!AA14</f>
        <v>72</v>
      </c>
      <c r="Z14" s="13">
        <f>'[2]Oct-Dec''25'!AB14+'[2]Apr-Sep''25'!AB14</f>
        <v>72</v>
      </c>
      <c r="AA14" s="8">
        <f t="shared" si="64"/>
        <v>1</v>
      </c>
      <c r="AB14" s="13">
        <f>'[2]Oct-Dec''25'!AD14+'[2]Apr-Sep''25'!AD14</f>
        <v>4</v>
      </c>
      <c r="AC14" s="13">
        <f>'[2]Oct-Dec''25'!AE14+'[2]Apr-Sep''25'!AE14</f>
        <v>4</v>
      </c>
      <c r="AD14" s="8">
        <f t="shared" si="65"/>
        <v>1</v>
      </c>
      <c r="AE14" s="13">
        <f>'[2]Oct-Dec''25'!AJ14+'[2]Apr-Sep''25'!AJ14</f>
        <v>3136</v>
      </c>
      <c r="AF14" s="13">
        <f>'[2]Oct-Dec''25'!AK14+'[2]Apr-Sep''25'!AK14</f>
        <v>3136</v>
      </c>
      <c r="AG14" s="8">
        <f t="shared" si="66"/>
        <v>1</v>
      </c>
      <c r="AH14" s="13">
        <f>'[2]Oct-Dec''25'!AM14+'[2]Apr-Sep''25'!AM14</f>
        <v>0</v>
      </c>
      <c r="AI14" s="13">
        <f>'[2]Oct-Dec''25'!AN14+'[2]Apr-Sep''25'!AN14</f>
        <v>0</v>
      </c>
      <c r="AJ14" s="8" t="e">
        <f t="shared" si="67"/>
        <v>#DIV/0!</v>
      </c>
      <c r="AK14" s="13">
        <f>'[2]Oct-Dec''25'!AP14+'[2]Apr-Sep''25'!AP14</f>
        <v>56</v>
      </c>
      <c r="AL14" s="13">
        <f>'[2]Oct-Dec''25'!AQ14+'[2]Apr-Sep''25'!AQ14</f>
        <v>52</v>
      </c>
      <c r="AM14" s="8">
        <f t="shared" si="68"/>
        <v>0.9285714285714286</v>
      </c>
      <c r="AN14" s="13">
        <f>'[2]Oct-Dec''25'!AS14+'[2]Apr-Sep''25'!AS14</f>
        <v>106</v>
      </c>
      <c r="AO14" s="13">
        <f>'[2]Oct-Dec''25'!AT14+'[2]Apr-Sep''25'!AT14</f>
        <v>106</v>
      </c>
      <c r="AP14" s="8">
        <f t="shared" si="69"/>
        <v>1</v>
      </c>
      <c r="AQ14" s="13">
        <f>'[2]Oct-Dec''25'!AV14+'[2]Apr-Sep''25'!AV14</f>
        <v>0</v>
      </c>
      <c r="AR14" s="13">
        <f>'[2]Oct-Dec''25'!AW14+'[2]Apr-Sep''25'!AW14</f>
        <v>0</v>
      </c>
      <c r="AS14" s="8" t="e">
        <f t="shared" si="70"/>
        <v>#DIV/0!</v>
      </c>
      <c r="AT14" s="13">
        <f>'[2]Oct-Dec''25'!AY14+'[2]Apr-Sep''25'!AY14</f>
        <v>345</v>
      </c>
      <c r="AU14" s="13">
        <f>'[2]Oct-Dec''25'!AZ14+'[2]Apr-Sep''25'!AZ14</f>
        <v>345</v>
      </c>
      <c r="AV14" s="8">
        <f t="shared" si="71"/>
        <v>1</v>
      </c>
      <c r="AW14" s="9">
        <f t="shared" si="72"/>
        <v>451</v>
      </c>
      <c r="AX14" s="9">
        <f t="shared" si="73"/>
        <v>451</v>
      </c>
      <c r="AY14" s="8">
        <f t="shared" si="74"/>
        <v>1</v>
      </c>
      <c r="AZ14" s="13">
        <f>'[2]Oct-Dec''25'!BB14+'[2]Apr-Sep''25'!BB14</f>
        <v>167</v>
      </c>
      <c r="BA14" s="13">
        <f>'[2]Oct-Dec''25'!BC14+'[2]Apr-Sep''25'!BC14</f>
        <v>167</v>
      </c>
      <c r="BB14" s="14">
        <f t="shared" si="75"/>
        <v>1</v>
      </c>
      <c r="BC14" s="13">
        <f>'[2]Oct-Dec''25'!BE14+'[2]Apr-Sep''25'!BE14</f>
        <v>21</v>
      </c>
      <c r="BD14" s="13">
        <f>'[2]Oct-Dec''25'!BF14+'[2]Apr-Sep''25'!BF14</f>
        <v>21</v>
      </c>
      <c r="BE14" s="14">
        <f t="shared" si="76"/>
        <v>1</v>
      </c>
      <c r="BF14" s="13">
        <f>'[2]Oct-Dec''25'!BH14+'[2]Apr-Sep''25'!BH14</f>
        <v>42</v>
      </c>
      <c r="BG14" s="13">
        <f>'[2]Oct-Dec''25'!BI14+'[2]Apr-Sep''25'!BI14</f>
        <v>42</v>
      </c>
      <c r="BH14" s="14">
        <f t="shared" si="77"/>
        <v>1</v>
      </c>
      <c r="BI14" s="13">
        <f>'[2]Oct-Dec''25'!BK14+'[2]Apr-Sep''25'!BK14</f>
        <v>26</v>
      </c>
      <c r="BJ14" s="13">
        <f>'[2]Oct-Dec''25'!BL14+'[2]Apr-Sep''25'!BL14</f>
        <v>26</v>
      </c>
      <c r="BK14" s="15">
        <f t="shared" si="78"/>
        <v>1</v>
      </c>
      <c r="BL14" s="13">
        <f>'[2]Oct-Dec''25'!BN14+'[2]Apr-Sep''25'!BN14</f>
        <v>25</v>
      </c>
      <c r="BM14" s="13">
        <f>'[2]Oct-Dec''25'!BO14+'[2]Apr-Sep''25'!BO14</f>
        <v>25</v>
      </c>
      <c r="BN14" s="15">
        <f t="shared" si="79"/>
        <v>1</v>
      </c>
      <c r="BO14" s="13">
        <f>'[2]Oct-Dec''25'!BQ14+'[2]Apr-Sep''25'!BQ14</f>
        <v>29</v>
      </c>
      <c r="BP14" s="13">
        <f>'[2]Oct-Dec''25'!BR14+'[2]Apr-Sep''25'!BR14</f>
        <v>27</v>
      </c>
      <c r="BQ14" s="15">
        <f t="shared" si="80"/>
        <v>0.93103448275862066</v>
      </c>
      <c r="BR14" s="13">
        <f>'[2]Oct-Dec''25'!BT14+'[2]Apr-Sep''25'!BT14</f>
        <v>46</v>
      </c>
      <c r="BS14" s="13">
        <f>'[2]Oct-Dec''25'!BU14+'[2]Apr-Sep''25'!BU14</f>
        <v>46</v>
      </c>
      <c r="BT14" s="14">
        <f t="shared" si="81"/>
        <v>1</v>
      </c>
      <c r="BU14" s="13">
        <f>'[2]Oct-Dec''25'!BW14+'[2]Apr-Sep''25'!BW14</f>
        <v>0</v>
      </c>
      <c r="BV14" s="13">
        <f>'[2]Oct-Dec''25'!BX14+'[2]Apr-Sep''25'!BX14</f>
        <v>0</v>
      </c>
      <c r="BW14" s="14">
        <f t="shared" si="82"/>
        <v>0</v>
      </c>
      <c r="BX14" s="13">
        <f>'[2]Oct-Dec''25'!BZ14+'[2]Apr-Sep''25'!BZ14</f>
        <v>487</v>
      </c>
      <c r="BY14" s="13">
        <f>'[2]Oct-Dec''25'!CA14+'[2]Apr-Sep''25'!CA14</f>
        <v>488</v>
      </c>
      <c r="BZ14" s="14">
        <f t="shared" si="83"/>
        <v>1.0020533880903491</v>
      </c>
      <c r="CA14" s="13">
        <f>'[2]Oct-Dec''25'!CC14+'[2]Apr-Sep''25'!CC14</f>
        <v>48</v>
      </c>
      <c r="CB14" s="13">
        <f>'[2]Oct-Dec''25'!CD14+'[2]Apr-Sep''25'!CD14</f>
        <v>48</v>
      </c>
      <c r="CC14" s="14">
        <f t="shared" si="84"/>
        <v>1</v>
      </c>
      <c r="CD14" s="13">
        <f>'[2]Oct-Dec''25'!CF14+'[2]Apr-Sep''25'!CF14</f>
        <v>0</v>
      </c>
      <c r="CE14" s="13">
        <f>'[2]Oct-Dec''25'!CG14+'[2]Apr-Sep''25'!CG14</f>
        <v>0</v>
      </c>
      <c r="CF14" s="14">
        <f t="shared" si="85"/>
        <v>0</v>
      </c>
    </row>
    <row r="15" spans="1:84" x14ac:dyDescent="0.25">
      <c r="A15" s="12">
        <f>'[2]Oct-Dec''25'!A15</f>
        <v>9</v>
      </c>
      <c r="B15" s="12" t="str">
        <f>'[2]Oct-Dec''25'!B15</f>
        <v>CHRI</v>
      </c>
      <c r="C15" s="1" t="str">
        <f>'[2]Oct-Dec''25'!C15</f>
        <v>Bihar</v>
      </c>
      <c r="D15" s="3" t="str">
        <f>'[2]Oct-Dec''25'!D15</f>
        <v>BNP+</v>
      </c>
      <c r="E15" s="1" t="str">
        <f>'[2]Oct-Dec''25'!E15</f>
        <v>MADHUBANI</v>
      </c>
      <c r="F15" s="12" t="s">
        <v>85</v>
      </c>
      <c r="G15" s="13">
        <f>'[2]Oct-Dec''25'!H15+'[2]Apr-Sep''25'!H15</f>
        <v>536</v>
      </c>
      <c r="H15" s="13">
        <f>'[2]Oct-Dec''25'!I15+'[2]Apr-Sep''25'!I15</f>
        <v>449</v>
      </c>
      <c r="I15" s="7">
        <f t="shared" si="59"/>
        <v>0.83768656716417911</v>
      </c>
      <c r="J15" s="13">
        <f>'[2]Oct-Dec''25'!K15+'[2]Apr-Sep''25'!K15</f>
        <v>386</v>
      </c>
      <c r="K15" s="13">
        <f>'[2]Oct-Dec''25'!L15+'[2]Apr-Sep''25'!L15</f>
        <v>386</v>
      </c>
      <c r="L15" s="7">
        <f t="shared" si="86"/>
        <v>1</v>
      </c>
      <c r="M15" s="13">
        <f>'[2]Oct-Dec''25'!N15+'[2]Apr-Sep''25'!N15</f>
        <v>476</v>
      </c>
      <c r="N15" s="13">
        <f>'[2]Oct-Dec''25'!O15+'[2]Apr-Sep''25'!O15</f>
        <v>476</v>
      </c>
      <c r="O15" s="8">
        <f t="shared" si="60"/>
        <v>1</v>
      </c>
      <c r="P15" s="13">
        <f>'[2]Oct-Dec''25'!Q15+'[2]Apr-Sep''25'!Q15</f>
        <v>381</v>
      </c>
      <c r="Q15" s="13">
        <f>'[2]Oct-Dec''25'!R15+'[2]Apr-Sep''25'!R15</f>
        <v>365</v>
      </c>
      <c r="R15" s="8">
        <f t="shared" si="61"/>
        <v>0.95800524934383202</v>
      </c>
      <c r="S15" s="13">
        <f>'[2]Oct-Dec''25'!T15+'[2]Apr-Sep''25'!T15</f>
        <v>1541</v>
      </c>
      <c r="T15" s="13">
        <f>'[2]Oct-Dec''25'!U15+'[2]Apr-Sep''25'!U15</f>
        <v>1248</v>
      </c>
      <c r="U15" s="8">
        <f t="shared" si="62"/>
        <v>0.80986372485399094</v>
      </c>
      <c r="V15" s="13">
        <f>'[2]Oct-Dec''25'!W15+'[2]Apr-Sep''25'!W15</f>
        <v>719</v>
      </c>
      <c r="W15" s="13">
        <f>'[2]Oct-Dec''25'!Y15+'[2]Apr-Sep''25'!Y15</f>
        <v>380</v>
      </c>
      <c r="X15" s="8">
        <f t="shared" si="63"/>
        <v>0.52851182197496527</v>
      </c>
      <c r="Y15" s="13">
        <f>'[2]Oct-Dec''25'!AA15+'[2]Apr-Sep''25'!AA15</f>
        <v>0</v>
      </c>
      <c r="Z15" s="13">
        <f>'[2]Oct-Dec''25'!AB15+'[2]Apr-Sep''25'!AB15</f>
        <v>0</v>
      </c>
      <c r="AA15" s="8" t="e">
        <f t="shared" si="64"/>
        <v>#DIV/0!</v>
      </c>
      <c r="AB15" s="13">
        <f>'[2]Oct-Dec''25'!AD15+'[2]Apr-Sep''25'!AD15</f>
        <v>0</v>
      </c>
      <c r="AC15" s="13">
        <f>'[2]Oct-Dec''25'!AE15+'[2]Apr-Sep''25'!AE15</f>
        <v>0</v>
      </c>
      <c r="AD15" s="8" t="e">
        <f t="shared" si="65"/>
        <v>#DIV/0!</v>
      </c>
      <c r="AE15" s="13">
        <f>'[2]Oct-Dec''25'!AJ15+'[2]Apr-Sep''25'!AJ15</f>
        <v>448</v>
      </c>
      <c r="AF15" s="13">
        <f>'[2]Oct-Dec''25'!AK15+'[2]Apr-Sep''25'!AK15</f>
        <v>417</v>
      </c>
      <c r="AG15" s="8">
        <f t="shared" si="66"/>
        <v>0.9308035714285714</v>
      </c>
      <c r="AH15" s="13">
        <f>'[2]Oct-Dec''25'!AM15+'[2]Apr-Sep''25'!AM15</f>
        <v>0</v>
      </c>
      <c r="AI15" s="13">
        <f>'[2]Oct-Dec''25'!AN15+'[2]Apr-Sep''25'!AN15</f>
        <v>0</v>
      </c>
      <c r="AJ15" s="8" t="e">
        <f t="shared" si="67"/>
        <v>#DIV/0!</v>
      </c>
      <c r="AK15" s="13">
        <f>'[2]Oct-Dec''25'!AP15+'[2]Apr-Sep''25'!AP15</f>
        <v>50</v>
      </c>
      <c r="AL15" s="13">
        <f>'[2]Oct-Dec''25'!AQ15+'[2]Apr-Sep''25'!AQ15</f>
        <v>50</v>
      </c>
      <c r="AM15" s="8">
        <f t="shared" si="68"/>
        <v>1</v>
      </c>
      <c r="AN15" s="13">
        <f>'[2]Oct-Dec''25'!AS15+'[2]Apr-Sep''25'!AS15</f>
        <v>157</v>
      </c>
      <c r="AO15" s="13">
        <f>'[2]Oct-Dec''25'!AT15+'[2]Apr-Sep''25'!AT15</f>
        <v>76</v>
      </c>
      <c r="AP15" s="8">
        <f t="shared" si="69"/>
        <v>0.48407643312101911</v>
      </c>
      <c r="AQ15" s="13">
        <f>'[2]Oct-Dec''25'!AV15+'[2]Apr-Sep''25'!AV15</f>
        <v>135</v>
      </c>
      <c r="AR15" s="13">
        <f>'[2]Oct-Dec''25'!AW15+'[2]Apr-Sep''25'!AW15</f>
        <v>0</v>
      </c>
      <c r="AS15" s="8">
        <f t="shared" si="70"/>
        <v>0</v>
      </c>
      <c r="AT15" s="13">
        <f>'[2]Oct-Dec''25'!AY15+'[2]Apr-Sep''25'!AY15</f>
        <v>38</v>
      </c>
      <c r="AU15" s="13">
        <f>'[2]Oct-Dec''25'!AZ15+'[2]Apr-Sep''25'!AZ15</f>
        <v>38</v>
      </c>
      <c r="AV15" s="8">
        <f t="shared" si="71"/>
        <v>1</v>
      </c>
      <c r="AW15" s="9">
        <f t="shared" si="72"/>
        <v>330</v>
      </c>
      <c r="AX15" s="9">
        <f t="shared" si="73"/>
        <v>114</v>
      </c>
      <c r="AY15" s="8">
        <f t="shared" si="74"/>
        <v>0.34545454545454546</v>
      </c>
      <c r="AZ15" s="13">
        <f>'[2]Oct-Dec''25'!BB15+'[2]Apr-Sep''25'!BB15</f>
        <v>37</v>
      </c>
      <c r="BA15" s="13">
        <f>'[2]Oct-Dec''25'!BC15+'[2]Apr-Sep''25'!BC15</f>
        <v>36</v>
      </c>
      <c r="BB15" s="14">
        <f t="shared" si="75"/>
        <v>0.97297297297297303</v>
      </c>
      <c r="BC15" s="13">
        <f>'[2]Oct-Dec''25'!BE15+'[2]Apr-Sep''25'!BE15</f>
        <v>16</v>
      </c>
      <c r="BD15" s="13">
        <f>'[2]Oct-Dec''25'!BF15+'[2]Apr-Sep''25'!BF15</f>
        <v>16</v>
      </c>
      <c r="BE15" s="14">
        <f t="shared" si="76"/>
        <v>1</v>
      </c>
      <c r="BF15" s="13">
        <f>'[2]Oct-Dec''25'!BH15+'[2]Apr-Sep''25'!BH15</f>
        <v>6</v>
      </c>
      <c r="BG15" s="13">
        <f>'[2]Oct-Dec''25'!BI15+'[2]Apr-Sep''25'!BI15</f>
        <v>6</v>
      </c>
      <c r="BH15" s="14">
        <f t="shared" si="77"/>
        <v>1</v>
      </c>
      <c r="BI15" s="13">
        <f>'[2]Oct-Dec''25'!BK15+'[2]Apr-Sep''25'!BK15</f>
        <v>19</v>
      </c>
      <c r="BJ15" s="13">
        <f>'[2]Oct-Dec''25'!BL15+'[2]Apr-Sep''25'!BL15</f>
        <v>22</v>
      </c>
      <c r="BK15" s="15">
        <f t="shared" si="78"/>
        <v>1.1578947368421053</v>
      </c>
      <c r="BL15" s="13">
        <f>'[2]Oct-Dec''25'!BN15+'[2]Apr-Sep''25'!BN15</f>
        <v>18</v>
      </c>
      <c r="BM15" s="13">
        <f>'[2]Oct-Dec''25'!BO15+'[2]Apr-Sep''25'!BO15</f>
        <v>18</v>
      </c>
      <c r="BN15" s="15">
        <f t="shared" si="79"/>
        <v>1</v>
      </c>
      <c r="BO15" s="13">
        <f>'[2]Oct-Dec''25'!BQ15+'[2]Apr-Sep''25'!BQ15</f>
        <v>7</v>
      </c>
      <c r="BP15" s="13">
        <f>'[2]Oct-Dec''25'!BR15+'[2]Apr-Sep''25'!BR15</f>
        <v>7</v>
      </c>
      <c r="BQ15" s="15">
        <f t="shared" si="80"/>
        <v>1</v>
      </c>
      <c r="BR15" s="13">
        <f>'[2]Oct-Dec''25'!BT15+'[2]Apr-Sep''25'!BT15</f>
        <v>10</v>
      </c>
      <c r="BS15" s="13">
        <f>'[2]Oct-Dec''25'!BU15+'[2]Apr-Sep''25'!BU15</f>
        <v>10</v>
      </c>
      <c r="BT15" s="14">
        <f t="shared" si="81"/>
        <v>1</v>
      </c>
      <c r="BU15" s="13">
        <f>'[2]Oct-Dec''25'!BW15+'[2]Apr-Sep''25'!BW15</f>
        <v>1</v>
      </c>
      <c r="BV15" s="13">
        <f>'[2]Oct-Dec''25'!BX15+'[2]Apr-Sep''25'!BX15</f>
        <v>1</v>
      </c>
      <c r="BW15" s="14">
        <f t="shared" si="82"/>
        <v>1</v>
      </c>
      <c r="BX15" s="13">
        <f>'[2]Oct-Dec''25'!BZ15+'[2]Apr-Sep''25'!BZ15</f>
        <v>449</v>
      </c>
      <c r="BY15" s="13">
        <f>'[2]Oct-Dec''25'!CA15+'[2]Apr-Sep''25'!CA15</f>
        <v>1335</v>
      </c>
      <c r="BZ15" s="14">
        <f t="shared" si="83"/>
        <v>2.9732739420935412</v>
      </c>
      <c r="CA15" s="13">
        <f>'[2]Oct-Dec''25'!CC15+'[2]Apr-Sep''25'!CC15</f>
        <v>61</v>
      </c>
      <c r="CB15" s="13">
        <f>'[2]Oct-Dec''25'!CD15+'[2]Apr-Sep''25'!CD15</f>
        <v>67</v>
      </c>
      <c r="CC15" s="14">
        <f t="shared" si="84"/>
        <v>1.098360655737705</v>
      </c>
      <c r="CD15" s="13">
        <f>'[2]Oct-Dec''25'!CF15+'[2]Apr-Sep''25'!CF15</f>
        <v>0</v>
      </c>
      <c r="CE15" s="13">
        <f>'[2]Oct-Dec''25'!CG15+'[2]Apr-Sep''25'!CG15</f>
        <v>0</v>
      </c>
      <c r="CF15" s="14">
        <f t="shared" si="85"/>
        <v>0</v>
      </c>
    </row>
    <row r="16" spans="1:84" x14ac:dyDescent="0.25">
      <c r="A16" s="12">
        <f>'[2]Oct-Dec''25'!A16</f>
        <v>10</v>
      </c>
      <c r="B16" s="12" t="str">
        <f>'[2]Oct-Dec''25'!B16</f>
        <v>CHRI</v>
      </c>
      <c r="C16" s="1" t="str">
        <f>'[2]Oct-Dec''25'!C16</f>
        <v>Bihar</v>
      </c>
      <c r="D16" s="3" t="str">
        <f>'[2]Oct-Dec''25'!D16</f>
        <v>NIRDESH</v>
      </c>
      <c r="E16" s="1" t="str">
        <f>'[2]Oct-Dec''25'!E16</f>
        <v>EAST CHAMPARAN</v>
      </c>
      <c r="F16" s="12" t="s">
        <v>85</v>
      </c>
      <c r="G16" s="13">
        <f>'[2]Oct-Dec''25'!H16+'[2]Apr-Sep''25'!H16</f>
        <v>919</v>
      </c>
      <c r="H16" s="13">
        <f>'[2]Oct-Dec''25'!I16+'[2]Apr-Sep''25'!I16</f>
        <v>937</v>
      </c>
      <c r="I16" s="7">
        <f t="shared" si="59"/>
        <v>1.0195865070729053</v>
      </c>
      <c r="J16" s="13">
        <f>'[2]Oct-Dec''25'!K16+'[2]Apr-Sep''25'!K16</f>
        <v>990</v>
      </c>
      <c r="K16" s="13">
        <f>'[2]Oct-Dec''25'!L16+'[2]Apr-Sep''25'!L16</f>
        <v>990</v>
      </c>
      <c r="L16" s="7">
        <f t="shared" si="86"/>
        <v>1</v>
      </c>
      <c r="M16" s="13">
        <f>'[2]Oct-Dec''25'!N16+'[2]Apr-Sep''25'!N16</f>
        <v>830</v>
      </c>
      <c r="N16" s="13">
        <f>'[2]Oct-Dec''25'!O16+'[2]Apr-Sep''25'!O16</f>
        <v>830</v>
      </c>
      <c r="O16" s="8">
        <f t="shared" si="60"/>
        <v>1</v>
      </c>
      <c r="P16" s="13">
        <f>'[2]Oct-Dec''25'!Q16+'[2]Apr-Sep''25'!Q16</f>
        <v>710</v>
      </c>
      <c r="Q16" s="13">
        <f>'[2]Oct-Dec''25'!R16+'[2]Apr-Sep''25'!R16</f>
        <v>678</v>
      </c>
      <c r="R16" s="8">
        <f t="shared" si="61"/>
        <v>0.95492957746478868</v>
      </c>
      <c r="S16" s="13">
        <f>'[2]Oct-Dec''25'!T16+'[2]Apr-Sep''25'!T16</f>
        <v>4174</v>
      </c>
      <c r="T16" s="13">
        <f>'[2]Oct-Dec''25'!U16+'[2]Apr-Sep''25'!U16</f>
        <v>4104</v>
      </c>
      <c r="U16" s="8">
        <f t="shared" si="62"/>
        <v>0.98322951605174891</v>
      </c>
      <c r="V16" s="13">
        <f>'[2]Oct-Dec''25'!W16+'[2]Apr-Sep''25'!W16</f>
        <v>491</v>
      </c>
      <c r="W16" s="13">
        <f>'[2]Oct-Dec''25'!Y16+'[2]Apr-Sep''25'!Y16</f>
        <v>457</v>
      </c>
      <c r="X16" s="8">
        <f t="shared" si="63"/>
        <v>0.93075356415478616</v>
      </c>
      <c r="Y16" s="13">
        <f>'[2]Oct-Dec''25'!AA16+'[2]Apr-Sep''25'!AA16</f>
        <v>0</v>
      </c>
      <c r="Z16" s="13">
        <f>'[2]Oct-Dec''25'!AB16+'[2]Apr-Sep''25'!AB16</f>
        <v>0</v>
      </c>
      <c r="AA16" s="8" t="e">
        <f t="shared" si="64"/>
        <v>#DIV/0!</v>
      </c>
      <c r="AB16" s="13">
        <f>'[2]Oct-Dec''25'!AD16+'[2]Apr-Sep''25'!AD16</f>
        <v>0</v>
      </c>
      <c r="AC16" s="13">
        <f>'[2]Oct-Dec''25'!AE16+'[2]Apr-Sep''25'!AE16</f>
        <v>0</v>
      </c>
      <c r="AD16" s="8" t="e">
        <f t="shared" si="65"/>
        <v>#DIV/0!</v>
      </c>
      <c r="AE16" s="13">
        <f>'[2]Oct-Dec''25'!AJ16+'[2]Apr-Sep''25'!AJ16</f>
        <v>3746</v>
      </c>
      <c r="AF16" s="13">
        <f>'[2]Oct-Dec''25'!AK16+'[2]Apr-Sep''25'!AK16</f>
        <v>3746</v>
      </c>
      <c r="AG16" s="8">
        <f t="shared" si="66"/>
        <v>1</v>
      </c>
      <c r="AH16" s="13">
        <f>'[2]Oct-Dec''25'!AM16+'[2]Apr-Sep''25'!AM16</f>
        <v>0</v>
      </c>
      <c r="AI16" s="13">
        <f>'[2]Oct-Dec''25'!AN16+'[2]Apr-Sep''25'!AN16</f>
        <v>0</v>
      </c>
      <c r="AJ16" s="8" t="e">
        <f t="shared" si="67"/>
        <v>#DIV/0!</v>
      </c>
      <c r="AK16" s="13">
        <f>'[2]Oct-Dec''25'!AP16+'[2]Apr-Sep''25'!AP16</f>
        <v>110</v>
      </c>
      <c r="AL16" s="13">
        <f>'[2]Oct-Dec''25'!AQ16+'[2]Apr-Sep''25'!AQ16</f>
        <v>110</v>
      </c>
      <c r="AM16" s="8">
        <f t="shared" si="68"/>
        <v>1</v>
      </c>
      <c r="AN16" s="13">
        <f>'[2]Oct-Dec''25'!AS16+'[2]Apr-Sep''25'!AS16</f>
        <v>518</v>
      </c>
      <c r="AO16" s="13">
        <f>'[2]Oct-Dec''25'!AT16+'[2]Apr-Sep''25'!AT16</f>
        <v>518</v>
      </c>
      <c r="AP16" s="8">
        <f t="shared" si="69"/>
        <v>1</v>
      </c>
      <c r="AQ16" s="13">
        <f>'[2]Oct-Dec''25'!AV16+'[2]Apr-Sep''25'!AV16</f>
        <v>0</v>
      </c>
      <c r="AR16" s="13">
        <f>'[2]Oct-Dec''25'!AW16+'[2]Apr-Sep''25'!AW16</f>
        <v>0</v>
      </c>
      <c r="AS16" s="8" t="e">
        <f t="shared" si="70"/>
        <v>#DIV/0!</v>
      </c>
      <c r="AT16" s="13">
        <f>'[2]Oct-Dec''25'!AY16+'[2]Apr-Sep''25'!AY16</f>
        <v>832</v>
      </c>
      <c r="AU16" s="13">
        <f>'[2]Oct-Dec''25'!AZ16+'[2]Apr-Sep''25'!AZ16</f>
        <v>806</v>
      </c>
      <c r="AV16" s="8">
        <f t="shared" si="71"/>
        <v>0.96875</v>
      </c>
      <c r="AW16" s="9">
        <f t="shared" si="72"/>
        <v>1350</v>
      </c>
      <c r="AX16" s="9">
        <f t="shared" si="73"/>
        <v>1324</v>
      </c>
      <c r="AY16" s="8">
        <f t="shared" si="74"/>
        <v>0.98074074074074069</v>
      </c>
      <c r="AZ16" s="13">
        <f>'[2]Oct-Dec''25'!BB16+'[2]Apr-Sep''25'!BB16</f>
        <v>237</v>
      </c>
      <c r="BA16" s="13">
        <f>'[2]Oct-Dec''25'!BC16+'[2]Apr-Sep''25'!BC16</f>
        <v>237</v>
      </c>
      <c r="BB16" s="14">
        <f t="shared" si="75"/>
        <v>1</v>
      </c>
      <c r="BC16" s="13">
        <f>'[2]Oct-Dec''25'!BE16+'[2]Apr-Sep''25'!BE16</f>
        <v>35</v>
      </c>
      <c r="BD16" s="13">
        <f>'[2]Oct-Dec''25'!BF16+'[2]Apr-Sep''25'!BF16</f>
        <v>35</v>
      </c>
      <c r="BE16" s="14">
        <f t="shared" si="76"/>
        <v>1</v>
      </c>
      <c r="BF16" s="13">
        <f>'[2]Oct-Dec''25'!BH16+'[2]Apr-Sep''25'!BH16</f>
        <v>31</v>
      </c>
      <c r="BG16" s="13">
        <f>'[2]Oct-Dec''25'!BI16+'[2]Apr-Sep''25'!BI16</f>
        <v>31</v>
      </c>
      <c r="BH16" s="14">
        <f t="shared" si="77"/>
        <v>1</v>
      </c>
      <c r="BI16" s="13">
        <f>'[2]Oct-Dec''25'!BK16+'[2]Apr-Sep''25'!BK16</f>
        <v>53</v>
      </c>
      <c r="BJ16" s="13">
        <f>'[2]Oct-Dec''25'!BL16+'[2]Apr-Sep''25'!BL16</f>
        <v>53</v>
      </c>
      <c r="BK16" s="15">
        <f t="shared" si="78"/>
        <v>1</v>
      </c>
      <c r="BL16" s="13">
        <f>'[2]Oct-Dec''25'!BN16+'[2]Apr-Sep''25'!BN16</f>
        <v>21</v>
      </c>
      <c r="BM16" s="13">
        <f>'[2]Oct-Dec''25'!BO16+'[2]Apr-Sep''25'!BO16</f>
        <v>21</v>
      </c>
      <c r="BN16" s="15">
        <f t="shared" si="79"/>
        <v>1</v>
      </c>
      <c r="BO16" s="13">
        <f>'[2]Oct-Dec''25'!BQ16+'[2]Apr-Sep''25'!BQ16</f>
        <v>17</v>
      </c>
      <c r="BP16" s="13">
        <f>'[2]Oct-Dec''25'!BR16+'[2]Apr-Sep''25'!BR16</f>
        <v>17</v>
      </c>
      <c r="BQ16" s="15">
        <f t="shared" si="80"/>
        <v>1</v>
      </c>
      <c r="BR16" s="13">
        <f>'[2]Oct-Dec''25'!BT16+'[2]Apr-Sep''25'!BT16</f>
        <v>53</v>
      </c>
      <c r="BS16" s="13">
        <f>'[2]Oct-Dec''25'!BU16+'[2]Apr-Sep''25'!BU16</f>
        <v>46</v>
      </c>
      <c r="BT16" s="14">
        <f t="shared" si="81"/>
        <v>0.86792452830188682</v>
      </c>
      <c r="BU16" s="13">
        <f>'[2]Oct-Dec''25'!BW16+'[2]Apr-Sep''25'!BW16</f>
        <v>0</v>
      </c>
      <c r="BV16" s="13">
        <f>'[2]Oct-Dec''25'!BX16+'[2]Apr-Sep''25'!BX16</f>
        <v>0</v>
      </c>
      <c r="BW16" s="14">
        <f t="shared" si="82"/>
        <v>0</v>
      </c>
      <c r="BX16" s="13">
        <f>'[2]Oct-Dec''25'!BZ16+'[2]Apr-Sep''25'!BZ16</f>
        <v>937</v>
      </c>
      <c r="BY16" s="13">
        <f>'[2]Oct-Dec''25'!CA16+'[2]Apr-Sep''25'!CA16</f>
        <v>927</v>
      </c>
      <c r="BZ16" s="14">
        <f t="shared" si="83"/>
        <v>0.98932764140875129</v>
      </c>
      <c r="CA16" s="13">
        <f>'[2]Oct-Dec''25'!CC16+'[2]Apr-Sep''25'!CC16</f>
        <v>92</v>
      </c>
      <c r="CB16" s="13">
        <f>'[2]Oct-Dec''25'!CD16+'[2]Apr-Sep''25'!CD16</f>
        <v>92</v>
      </c>
      <c r="CC16" s="14">
        <f t="shared" si="84"/>
        <v>1</v>
      </c>
      <c r="CD16" s="13">
        <f>'[2]Oct-Dec''25'!CF16+'[2]Apr-Sep''25'!CF16</f>
        <v>6</v>
      </c>
      <c r="CE16" s="13">
        <f>'[2]Oct-Dec''25'!CG16+'[2]Apr-Sep''25'!CG16</f>
        <v>6</v>
      </c>
      <c r="CF16" s="14">
        <f t="shared" si="85"/>
        <v>1</v>
      </c>
    </row>
    <row r="17" spans="1:84" x14ac:dyDescent="0.25">
      <c r="A17" s="12">
        <f>'[2]Oct-Dec''25'!A17</f>
        <v>11</v>
      </c>
      <c r="B17" s="12" t="str">
        <f>'[2]Oct-Dec''25'!B17</f>
        <v>CHRI</v>
      </c>
      <c r="C17" s="1" t="str">
        <f>'[2]Oct-Dec''25'!C17</f>
        <v>Bihar</v>
      </c>
      <c r="D17" s="3" t="str">
        <f>'[2]Oct-Dec''25'!D17</f>
        <v>BNP+</v>
      </c>
      <c r="E17" s="1" t="str">
        <f>'[2]Oct-Dec''25'!E17</f>
        <v>MUZAFFARPUR</v>
      </c>
      <c r="F17" s="12" t="s">
        <v>85</v>
      </c>
      <c r="G17" s="13">
        <f>'[2]Oct-Dec''25'!H17+'[2]Apr-Sep''25'!H17</f>
        <v>386</v>
      </c>
      <c r="H17" s="13">
        <f>'[2]Oct-Dec''25'!I17+'[2]Apr-Sep''25'!I17</f>
        <v>369</v>
      </c>
      <c r="I17" s="7">
        <f t="shared" si="59"/>
        <v>0.95595854922279788</v>
      </c>
      <c r="J17" s="13">
        <f>'[2]Oct-Dec''25'!K17+'[2]Apr-Sep''25'!K17</f>
        <v>335</v>
      </c>
      <c r="K17" s="13">
        <f>'[2]Oct-Dec''25'!L17+'[2]Apr-Sep''25'!L17</f>
        <v>321</v>
      </c>
      <c r="L17" s="7">
        <f t="shared" si="86"/>
        <v>0.95820895522388061</v>
      </c>
      <c r="M17" s="13">
        <f>'[2]Oct-Dec''25'!N17+'[2]Apr-Sep''25'!N17</f>
        <v>346</v>
      </c>
      <c r="N17" s="13">
        <f>'[2]Oct-Dec''25'!O17+'[2]Apr-Sep''25'!O17</f>
        <v>344</v>
      </c>
      <c r="O17" s="8">
        <f t="shared" si="60"/>
        <v>0.9942196531791907</v>
      </c>
      <c r="P17" s="13">
        <f>'[2]Oct-Dec''25'!Q17+'[2]Apr-Sep''25'!Q17</f>
        <v>357</v>
      </c>
      <c r="Q17" s="13">
        <f>'[2]Oct-Dec''25'!R17+'[2]Apr-Sep''25'!R17</f>
        <v>331</v>
      </c>
      <c r="R17" s="8">
        <f t="shared" si="61"/>
        <v>0.92717086834733897</v>
      </c>
      <c r="S17" s="13">
        <f>'[2]Oct-Dec''25'!T17+'[2]Apr-Sep''25'!T17</f>
        <v>2674</v>
      </c>
      <c r="T17" s="13">
        <f>'[2]Oct-Dec''25'!U17+'[2]Apr-Sep''25'!U17</f>
        <v>2485</v>
      </c>
      <c r="U17" s="8">
        <f t="shared" si="62"/>
        <v>0.9293193717277487</v>
      </c>
      <c r="V17" s="13">
        <f>'[2]Oct-Dec''25'!W17+'[2]Apr-Sep''25'!W17</f>
        <v>336</v>
      </c>
      <c r="W17" s="13">
        <f>'[2]Oct-Dec''25'!Y17+'[2]Apr-Sep''25'!Y17</f>
        <v>220</v>
      </c>
      <c r="X17" s="8">
        <f t="shared" si="63"/>
        <v>0.65476190476190477</v>
      </c>
      <c r="Y17" s="13">
        <f>'[2]Oct-Dec''25'!AA17+'[2]Apr-Sep''25'!AA17</f>
        <v>148</v>
      </c>
      <c r="Z17" s="13">
        <f>'[2]Oct-Dec''25'!AB17+'[2]Apr-Sep''25'!AB17</f>
        <v>148</v>
      </c>
      <c r="AA17" s="8">
        <f t="shared" si="64"/>
        <v>1</v>
      </c>
      <c r="AB17" s="13">
        <f>'[2]Oct-Dec''25'!AD17+'[2]Apr-Sep''25'!AD17</f>
        <v>145</v>
      </c>
      <c r="AC17" s="13">
        <f>'[2]Oct-Dec''25'!AE17+'[2]Apr-Sep''25'!AE17</f>
        <v>44</v>
      </c>
      <c r="AD17" s="8">
        <f t="shared" si="65"/>
        <v>0.30344827586206896</v>
      </c>
      <c r="AE17" s="13">
        <f>'[2]Oct-Dec''25'!AJ17+'[2]Apr-Sep''25'!AJ17</f>
        <v>703</v>
      </c>
      <c r="AF17" s="13">
        <f>'[2]Oct-Dec''25'!AK17+'[2]Apr-Sep''25'!AK17</f>
        <v>404</v>
      </c>
      <c r="AG17" s="8">
        <f t="shared" si="66"/>
        <v>0.57467994310099568</v>
      </c>
      <c r="AH17" s="13">
        <f>'[2]Oct-Dec''25'!AM17+'[2]Apr-Sep''25'!AM17</f>
        <v>0</v>
      </c>
      <c r="AI17" s="13">
        <f>'[2]Oct-Dec''25'!AN17+'[2]Apr-Sep''25'!AN17</f>
        <v>0</v>
      </c>
      <c r="AJ17" s="8" t="e">
        <f t="shared" si="67"/>
        <v>#DIV/0!</v>
      </c>
      <c r="AK17" s="13">
        <f>'[2]Oct-Dec''25'!AP17+'[2]Apr-Sep''25'!AP17</f>
        <v>227</v>
      </c>
      <c r="AL17" s="13">
        <f>'[2]Oct-Dec''25'!AQ17+'[2]Apr-Sep''25'!AQ17</f>
        <v>93</v>
      </c>
      <c r="AM17" s="8">
        <f t="shared" si="68"/>
        <v>0.40969162995594716</v>
      </c>
      <c r="AN17" s="13">
        <f>'[2]Oct-Dec''25'!AS17+'[2]Apr-Sep''25'!AS17</f>
        <v>72</v>
      </c>
      <c r="AO17" s="13">
        <f>'[2]Oct-Dec''25'!AT17+'[2]Apr-Sep''25'!AT17</f>
        <v>72</v>
      </c>
      <c r="AP17" s="8">
        <f t="shared" si="69"/>
        <v>1</v>
      </c>
      <c r="AQ17" s="13">
        <f>'[2]Oct-Dec''25'!AV17+'[2]Apr-Sep''25'!AV17</f>
        <v>0</v>
      </c>
      <c r="AR17" s="13">
        <f>'[2]Oct-Dec''25'!AW17+'[2]Apr-Sep''25'!AW17</f>
        <v>0</v>
      </c>
      <c r="AS17" s="8" t="e">
        <f t="shared" si="70"/>
        <v>#DIV/0!</v>
      </c>
      <c r="AT17" s="13">
        <f>'[2]Oct-Dec''25'!AY17+'[2]Apr-Sep''25'!AY17</f>
        <v>71</v>
      </c>
      <c r="AU17" s="13">
        <f>'[2]Oct-Dec''25'!AZ17+'[2]Apr-Sep''25'!AZ17</f>
        <v>71</v>
      </c>
      <c r="AV17" s="8">
        <f t="shared" si="71"/>
        <v>1</v>
      </c>
      <c r="AW17" s="9">
        <f t="shared" si="72"/>
        <v>143</v>
      </c>
      <c r="AX17" s="9">
        <f t="shared" si="73"/>
        <v>143</v>
      </c>
      <c r="AY17" s="8">
        <f t="shared" si="74"/>
        <v>1</v>
      </c>
      <c r="AZ17" s="13">
        <f>'[2]Oct-Dec''25'!BB17+'[2]Apr-Sep''25'!BB17</f>
        <v>162</v>
      </c>
      <c r="BA17" s="13">
        <f>'[2]Oct-Dec''25'!BC17+'[2]Apr-Sep''25'!BC17</f>
        <v>162</v>
      </c>
      <c r="BB17" s="14">
        <f t="shared" si="75"/>
        <v>1</v>
      </c>
      <c r="BC17" s="13">
        <f>'[2]Oct-Dec''25'!BE17+'[2]Apr-Sep''25'!BE17</f>
        <v>19</v>
      </c>
      <c r="BD17" s="13">
        <f>'[2]Oct-Dec''25'!BF17+'[2]Apr-Sep''25'!BF17</f>
        <v>19</v>
      </c>
      <c r="BE17" s="14">
        <f t="shared" si="76"/>
        <v>1</v>
      </c>
      <c r="BF17" s="13">
        <f>'[2]Oct-Dec''25'!BH17+'[2]Apr-Sep''25'!BH17</f>
        <v>33</v>
      </c>
      <c r="BG17" s="13">
        <f>'[2]Oct-Dec''25'!BI17+'[2]Apr-Sep''25'!BI17</f>
        <v>32</v>
      </c>
      <c r="BH17" s="14">
        <f t="shared" si="77"/>
        <v>0.96969696969696972</v>
      </c>
      <c r="BI17" s="13">
        <f>'[2]Oct-Dec''25'!BK17+'[2]Apr-Sep''25'!BK17</f>
        <v>46</v>
      </c>
      <c r="BJ17" s="13">
        <f>'[2]Oct-Dec''25'!BL17+'[2]Apr-Sep''25'!BL17</f>
        <v>46</v>
      </c>
      <c r="BK17" s="15">
        <f t="shared" si="78"/>
        <v>1</v>
      </c>
      <c r="BL17" s="13">
        <f>'[2]Oct-Dec''25'!BN17+'[2]Apr-Sep''25'!BN17</f>
        <v>29</v>
      </c>
      <c r="BM17" s="13">
        <f>'[2]Oct-Dec''25'!BO17+'[2]Apr-Sep''25'!BO17</f>
        <v>29</v>
      </c>
      <c r="BN17" s="15">
        <f t="shared" si="79"/>
        <v>1</v>
      </c>
      <c r="BO17" s="13">
        <f>'[2]Oct-Dec''25'!BQ17+'[2]Apr-Sep''25'!BQ17</f>
        <v>20</v>
      </c>
      <c r="BP17" s="13">
        <f>'[2]Oct-Dec''25'!BR17+'[2]Apr-Sep''25'!BR17</f>
        <v>20</v>
      </c>
      <c r="BQ17" s="15">
        <f t="shared" si="80"/>
        <v>1</v>
      </c>
      <c r="BR17" s="13">
        <f>'[2]Oct-Dec''25'!BT17+'[2]Apr-Sep''25'!BT17</f>
        <v>29</v>
      </c>
      <c r="BS17" s="13">
        <f>'[2]Oct-Dec''25'!BU17+'[2]Apr-Sep''25'!BU17</f>
        <v>29</v>
      </c>
      <c r="BT17" s="14">
        <f t="shared" si="81"/>
        <v>1</v>
      </c>
      <c r="BU17" s="13">
        <f>'[2]Oct-Dec''25'!BW17+'[2]Apr-Sep''25'!BW17</f>
        <v>1</v>
      </c>
      <c r="BV17" s="13">
        <f>'[2]Oct-Dec''25'!BX17+'[2]Apr-Sep''25'!BX17</f>
        <v>1</v>
      </c>
      <c r="BW17" s="14">
        <f t="shared" si="82"/>
        <v>1</v>
      </c>
      <c r="BX17" s="13">
        <f>'[2]Oct-Dec''25'!BZ17+'[2]Apr-Sep''25'!BZ17</f>
        <v>369</v>
      </c>
      <c r="BY17" s="13">
        <f>'[2]Oct-Dec''25'!CA17+'[2]Apr-Sep''25'!CA17</f>
        <v>385</v>
      </c>
      <c r="BZ17" s="14">
        <f t="shared" si="83"/>
        <v>1.0433604336043361</v>
      </c>
      <c r="CA17" s="13">
        <f>'[2]Oct-Dec''25'!CC17+'[2]Apr-Sep''25'!CC17</f>
        <v>38</v>
      </c>
      <c r="CB17" s="13">
        <f>'[2]Oct-Dec''25'!CD17+'[2]Apr-Sep''25'!CD17</f>
        <v>23</v>
      </c>
      <c r="CC17" s="14">
        <f t="shared" si="84"/>
        <v>0.60526315789473684</v>
      </c>
      <c r="CD17" s="13">
        <f>'[2]Oct-Dec''25'!CF17+'[2]Apr-Sep''25'!CF17</f>
        <v>0</v>
      </c>
      <c r="CE17" s="13">
        <f>'[2]Oct-Dec''25'!CG17+'[2]Apr-Sep''25'!CG17</f>
        <v>0</v>
      </c>
      <c r="CF17" s="14">
        <f t="shared" si="85"/>
        <v>0</v>
      </c>
    </row>
    <row r="18" spans="1:84" x14ac:dyDescent="0.25">
      <c r="A18" s="12">
        <f>'[2]Oct-Dec''25'!A18</f>
        <v>12</v>
      </c>
      <c r="B18" s="12" t="str">
        <f>'[2]Oct-Dec''25'!B18</f>
        <v>CHRI</v>
      </c>
      <c r="C18" s="1" t="str">
        <f>'[2]Oct-Dec''25'!C18</f>
        <v>Bihar</v>
      </c>
      <c r="D18" s="3" t="str">
        <f>'[2]Oct-Dec''25'!D18</f>
        <v>PNP+</v>
      </c>
      <c r="E18" s="1" t="str">
        <f>'[2]Oct-Dec''25'!E18</f>
        <v>PATNA</v>
      </c>
      <c r="F18" s="12" t="s">
        <v>85</v>
      </c>
      <c r="G18" s="13">
        <f>'[2]Oct-Dec''25'!H18+'[2]Apr-Sep''25'!H18</f>
        <v>1049</v>
      </c>
      <c r="H18" s="13">
        <f>'[2]Oct-Dec''25'!I18+'[2]Apr-Sep''25'!I18</f>
        <v>702</v>
      </c>
      <c r="I18" s="7">
        <f t="shared" si="59"/>
        <v>0.66920877025738801</v>
      </c>
      <c r="J18" s="13">
        <f>'[2]Oct-Dec''25'!K18+'[2]Apr-Sep''25'!K18</f>
        <v>569</v>
      </c>
      <c r="K18" s="13">
        <f>'[2]Oct-Dec''25'!L18+'[2]Apr-Sep''25'!L18</f>
        <v>328</v>
      </c>
      <c r="L18" s="7">
        <f t="shared" si="86"/>
        <v>0.57644991212653773</v>
      </c>
      <c r="M18" s="13">
        <f>'[2]Oct-Dec''25'!N18+'[2]Apr-Sep''25'!N18</f>
        <v>1018</v>
      </c>
      <c r="N18" s="13">
        <f>'[2]Oct-Dec''25'!O18+'[2]Apr-Sep''25'!O18</f>
        <v>964</v>
      </c>
      <c r="O18" s="8">
        <f t="shared" si="60"/>
        <v>0.94695481335952847</v>
      </c>
      <c r="P18" s="13">
        <f>'[2]Oct-Dec''25'!Q18+'[2]Apr-Sep''25'!Q18</f>
        <v>929</v>
      </c>
      <c r="Q18" s="13">
        <f>'[2]Oct-Dec''25'!R18+'[2]Apr-Sep''25'!R18</f>
        <v>914</v>
      </c>
      <c r="R18" s="8">
        <f t="shared" si="61"/>
        <v>0.9838536060279871</v>
      </c>
      <c r="S18" s="13">
        <f>'[2]Oct-Dec''25'!T18+'[2]Apr-Sep''25'!T18</f>
        <v>4304</v>
      </c>
      <c r="T18" s="13">
        <f>'[2]Oct-Dec''25'!U18+'[2]Apr-Sep''25'!U18</f>
        <v>3360</v>
      </c>
      <c r="U18" s="8">
        <f t="shared" si="62"/>
        <v>0.7806691449814126</v>
      </c>
      <c r="V18" s="13">
        <f>'[2]Oct-Dec''25'!W18+'[2]Apr-Sep''25'!W18</f>
        <v>1073</v>
      </c>
      <c r="W18" s="13">
        <f>'[2]Oct-Dec''25'!Y18+'[2]Apr-Sep''25'!Y18</f>
        <v>598</v>
      </c>
      <c r="X18" s="8">
        <f t="shared" si="63"/>
        <v>0.55731593662628143</v>
      </c>
      <c r="Y18" s="13">
        <f>'[2]Oct-Dec''25'!AA18+'[2]Apr-Sep''25'!AA18</f>
        <v>49</v>
      </c>
      <c r="Z18" s="13">
        <f>'[2]Oct-Dec''25'!AB18+'[2]Apr-Sep''25'!AB18</f>
        <v>50</v>
      </c>
      <c r="AA18" s="8">
        <f t="shared" si="64"/>
        <v>1.0204081632653061</v>
      </c>
      <c r="AB18" s="13">
        <f>'[2]Oct-Dec''25'!AD18+'[2]Apr-Sep''25'!AD18</f>
        <v>0</v>
      </c>
      <c r="AC18" s="13">
        <f>'[2]Oct-Dec''25'!AE18+'[2]Apr-Sep''25'!AE18</f>
        <v>0</v>
      </c>
      <c r="AD18" s="8" t="e">
        <f t="shared" si="65"/>
        <v>#DIV/0!</v>
      </c>
      <c r="AE18" s="13">
        <f>'[2]Oct-Dec''25'!AJ18+'[2]Apr-Sep''25'!AJ18</f>
        <v>955</v>
      </c>
      <c r="AF18" s="13">
        <f>'[2]Oct-Dec''25'!AK18+'[2]Apr-Sep''25'!AK18</f>
        <v>697</v>
      </c>
      <c r="AG18" s="8">
        <f t="shared" si="66"/>
        <v>0.72984293193717276</v>
      </c>
      <c r="AH18" s="13">
        <f>'[2]Oct-Dec''25'!AM18+'[2]Apr-Sep''25'!AM18</f>
        <v>40</v>
      </c>
      <c r="AI18" s="13">
        <f>'[2]Oct-Dec''25'!AN18+'[2]Apr-Sep''25'!AN18</f>
        <v>7</v>
      </c>
      <c r="AJ18" s="8">
        <f t="shared" si="67"/>
        <v>0.17499999999999999</v>
      </c>
      <c r="AK18" s="13">
        <f>'[2]Oct-Dec''25'!AP18+'[2]Apr-Sep''25'!AP18</f>
        <v>452</v>
      </c>
      <c r="AL18" s="13">
        <f>'[2]Oct-Dec''25'!AQ18+'[2]Apr-Sep''25'!AQ18</f>
        <v>81</v>
      </c>
      <c r="AM18" s="8">
        <f t="shared" si="68"/>
        <v>0.17920353982300885</v>
      </c>
      <c r="AN18" s="13">
        <f>'[2]Oct-Dec''25'!AS18+'[2]Apr-Sep''25'!AS18</f>
        <v>117</v>
      </c>
      <c r="AO18" s="13">
        <f>'[2]Oct-Dec''25'!AT18+'[2]Apr-Sep''25'!AT18</f>
        <v>117</v>
      </c>
      <c r="AP18" s="8">
        <f t="shared" si="69"/>
        <v>1</v>
      </c>
      <c r="AQ18" s="13">
        <f>'[2]Oct-Dec''25'!AV18+'[2]Apr-Sep''25'!AV18</f>
        <v>0</v>
      </c>
      <c r="AR18" s="13">
        <f>'[2]Oct-Dec''25'!AW18+'[2]Apr-Sep''25'!AW18</f>
        <v>0</v>
      </c>
      <c r="AS18" s="8" t="e">
        <f t="shared" si="70"/>
        <v>#DIV/0!</v>
      </c>
      <c r="AT18" s="13">
        <f>'[2]Oct-Dec''25'!AY18+'[2]Apr-Sep''25'!AY18</f>
        <v>37</v>
      </c>
      <c r="AU18" s="13">
        <f>'[2]Oct-Dec''25'!AZ18+'[2]Apr-Sep''25'!AZ18</f>
        <v>37</v>
      </c>
      <c r="AV18" s="8">
        <f t="shared" si="71"/>
        <v>1</v>
      </c>
      <c r="AW18" s="9">
        <f t="shared" si="72"/>
        <v>154</v>
      </c>
      <c r="AX18" s="9">
        <f t="shared" si="73"/>
        <v>154</v>
      </c>
      <c r="AY18" s="8">
        <f t="shared" si="74"/>
        <v>1</v>
      </c>
      <c r="AZ18" s="13">
        <f>'[2]Oct-Dec''25'!BB18+'[2]Apr-Sep''25'!BB18</f>
        <v>213</v>
      </c>
      <c r="BA18" s="13">
        <f>'[2]Oct-Dec''25'!BC18+'[2]Apr-Sep''25'!BC18</f>
        <v>113</v>
      </c>
      <c r="BB18" s="14">
        <f t="shared" si="75"/>
        <v>0.53051643192488263</v>
      </c>
      <c r="BC18" s="13">
        <f>'[2]Oct-Dec''25'!BE18+'[2]Apr-Sep''25'!BE18</f>
        <v>14</v>
      </c>
      <c r="BD18" s="13">
        <f>'[2]Oct-Dec''25'!BF18+'[2]Apr-Sep''25'!BF18</f>
        <v>19</v>
      </c>
      <c r="BE18" s="14">
        <f t="shared" si="76"/>
        <v>1.3571428571428572</v>
      </c>
      <c r="BF18" s="13">
        <f>'[2]Oct-Dec''25'!BH18+'[2]Apr-Sep''25'!BH18</f>
        <v>60</v>
      </c>
      <c r="BG18" s="13">
        <f>'[2]Oct-Dec''25'!BI18+'[2]Apr-Sep''25'!BI18</f>
        <v>50</v>
      </c>
      <c r="BH18" s="14">
        <f t="shared" si="77"/>
        <v>0.83333333333333337</v>
      </c>
      <c r="BI18" s="13">
        <f>'[2]Oct-Dec''25'!BK18+'[2]Apr-Sep''25'!BK18</f>
        <v>96</v>
      </c>
      <c r="BJ18" s="13">
        <f>'[2]Oct-Dec''25'!BL18+'[2]Apr-Sep''25'!BL18</f>
        <v>93</v>
      </c>
      <c r="BK18" s="15">
        <f t="shared" si="78"/>
        <v>0.96875</v>
      </c>
      <c r="BL18" s="13">
        <f>'[2]Oct-Dec''25'!BN18+'[2]Apr-Sep''25'!BN18</f>
        <v>38</v>
      </c>
      <c r="BM18" s="13">
        <f>'[2]Oct-Dec''25'!BO18+'[2]Apr-Sep''25'!BO18</f>
        <v>33</v>
      </c>
      <c r="BN18" s="15">
        <f t="shared" si="79"/>
        <v>0.86842105263157898</v>
      </c>
      <c r="BO18" s="13">
        <f>'[2]Oct-Dec''25'!BQ18+'[2]Apr-Sep''25'!BQ18</f>
        <v>27</v>
      </c>
      <c r="BP18" s="13">
        <f>'[2]Oct-Dec''25'!BR18+'[2]Apr-Sep''25'!BR18</f>
        <v>26</v>
      </c>
      <c r="BQ18" s="15">
        <f t="shared" si="80"/>
        <v>0.96296296296296291</v>
      </c>
      <c r="BR18" s="13">
        <f>'[2]Oct-Dec''25'!BT18+'[2]Apr-Sep''25'!BT18</f>
        <v>25</v>
      </c>
      <c r="BS18" s="13">
        <f>'[2]Oct-Dec''25'!BU18+'[2]Apr-Sep''25'!BU18</f>
        <v>25</v>
      </c>
      <c r="BT18" s="14">
        <f t="shared" si="81"/>
        <v>1</v>
      </c>
      <c r="BU18" s="13">
        <f>'[2]Oct-Dec''25'!BW18+'[2]Apr-Sep''25'!BW18</f>
        <v>0</v>
      </c>
      <c r="BV18" s="13">
        <f>'[2]Oct-Dec''25'!BX18+'[2]Apr-Sep''25'!BX18</f>
        <v>0</v>
      </c>
      <c r="BW18" s="14">
        <f t="shared" si="82"/>
        <v>0</v>
      </c>
      <c r="BX18" s="13">
        <f>'[2]Oct-Dec''25'!BZ18+'[2]Apr-Sep''25'!BZ18</f>
        <v>702</v>
      </c>
      <c r="BY18" s="13">
        <f>'[2]Oct-Dec''25'!CA18+'[2]Apr-Sep''25'!CA18</f>
        <v>626</v>
      </c>
      <c r="BZ18" s="14">
        <f t="shared" si="83"/>
        <v>0.89173789173789175</v>
      </c>
      <c r="CA18" s="13">
        <f>'[2]Oct-Dec''25'!CC18+'[2]Apr-Sep''25'!CC18</f>
        <v>61</v>
      </c>
      <c r="CB18" s="13">
        <f>'[2]Oct-Dec''25'!CD18+'[2]Apr-Sep''25'!CD18</f>
        <v>51</v>
      </c>
      <c r="CC18" s="14">
        <f t="shared" si="84"/>
        <v>0.83606557377049184</v>
      </c>
      <c r="CD18" s="13">
        <f>'[2]Oct-Dec''25'!CF18+'[2]Apr-Sep''25'!CF18</f>
        <v>15</v>
      </c>
      <c r="CE18" s="13">
        <f>'[2]Oct-Dec''25'!CG18+'[2]Apr-Sep''25'!CG18</f>
        <v>15</v>
      </c>
      <c r="CF18" s="14">
        <f t="shared" si="85"/>
        <v>1</v>
      </c>
    </row>
    <row r="19" spans="1:84" x14ac:dyDescent="0.25">
      <c r="A19" s="12">
        <f>'[2]Oct-Dec''25'!A19</f>
        <v>13</v>
      </c>
      <c r="B19" s="12" t="str">
        <f>'[2]Oct-Dec''25'!B19</f>
        <v>CHRI</v>
      </c>
      <c r="C19" s="1" t="str">
        <f>'[2]Oct-Dec''25'!C19</f>
        <v>Bihar</v>
      </c>
      <c r="D19" s="3" t="str">
        <f>'[2]Oct-Dec''25'!D19</f>
        <v>BNP+</v>
      </c>
      <c r="E19" s="1" t="str">
        <f>'[2]Oct-Dec''25'!E19</f>
        <v>SARAN</v>
      </c>
      <c r="F19" s="12" t="s">
        <v>85</v>
      </c>
      <c r="G19" s="13">
        <f>'[2]Oct-Dec''25'!H19+'[2]Apr-Sep''25'!H19</f>
        <v>645</v>
      </c>
      <c r="H19" s="13">
        <f>'[2]Oct-Dec''25'!I19+'[2]Apr-Sep''25'!I19</f>
        <v>643</v>
      </c>
      <c r="I19" s="7">
        <f t="shared" si="59"/>
        <v>0.99689922480620152</v>
      </c>
      <c r="J19" s="13">
        <f>'[2]Oct-Dec''25'!K19+'[2]Apr-Sep''25'!K19</f>
        <v>189</v>
      </c>
      <c r="K19" s="13">
        <f>'[2]Oct-Dec''25'!L19+'[2]Apr-Sep''25'!L19</f>
        <v>188</v>
      </c>
      <c r="L19" s="7">
        <f t="shared" si="86"/>
        <v>0.99470899470899465</v>
      </c>
      <c r="M19" s="13">
        <f>'[2]Oct-Dec''25'!N19+'[2]Apr-Sep''25'!N19</f>
        <v>612</v>
      </c>
      <c r="N19" s="13">
        <f>'[2]Oct-Dec''25'!O19+'[2]Apr-Sep''25'!O19</f>
        <v>570</v>
      </c>
      <c r="O19" s="8">
        <f t="shared" si="60"/>
        <v>0.93137254901960786</v>
      </c>
      <c r="P19" s="13">
        <f>'[2]Oct-Dec''25'!Q19+'[2]Apr-Sep''25'!Q19</f>
        <v>461</v>
      </c>
      <c r="Q19" s="13">
        <f>'[2]Oct-Dec''25'!R19+'[2]Apr-Sep''25'!R19</f>
        <v>338</v>
      </c>
      <c r="R19" s="8">
        <f t="shared" si="61"/>
        <v>0.73318872017353576</v>
      </c>
      <c r="S19" s="13">
        <f>'[2]Oct-Dec''25'!T19+'[2]Apr-Sep''25'!T19</f>
        <v>3689</v>
      </c>
      <c r="T19" s="13">
        <f>'[2]Oct-Dec''25'!U19+'[2]Apr-Sep''25'!U19</f>
        <v>2939</v>
      </c>
      <c r="U19" s="8">
        <f t="shared" si="62"/>
        <v>0.79669287069666572</v>
      </c>
      <c r="V19" s="13">
        <f>'[2]Oct-Dec''25'!W19+'[2]Apr-Sep''25'!W19</f>
        <v>727</v>
      </c>
      <c r="W19" s="13">
        <f>'[2]Oct-Dec''25'!Y19+'[2]Apr-Sep''25'!Y19</f>
        <v>446</v>
      </c>
      <c r="X19" s="8">
        <f t="shared" si="63"/>
        <v>0.61348005502063274</v>
      </c>
      <c r="Y19" s="13">
        <f>'[2]Oct-Dec''25'!AA19+'[2]Apr-Sep''25'!AA19</f>
        <v>65</v>
      </c>
      <c r="Z19" s="13">
        <f>'[2]Oct-Dec''25'!AB19+'[2]Apr-Sep''25'!AB19</f>
        <v>64</v>
      </c>
      <c r="AA19" s="8">
        <f t="shared" si="64"/>
        <v>0.98461538461538467</v>
      </c>
      <c r="AB19" s="13">
        <f>'[2]Oct-Dec''25'!AD19+'[2]Apr-Sep''25'!AD19</f>
        <v>0</v>
      </c>
      <c r="AC19" s="13">
        <f>'[2]Oct-Dec''25'!AE19+'[2]Apr-Sep''25'!AE19</f>
        <v>0</v>
      </c>
      <c r="AD19" s="8" t="e">
        <f t="shared" si="65"/>
        <v>#DIV/0!</v>
      </c>
      <c r="AE19" s="13">
        <f>'[2]Oct-Dec''25'!AJ19+'[2]Apr-Sep''25'!AJ19</f>
        <v>2729</v>
      </c>
      <c r="AF19" s="13">
        <f>'[2]Oct-Dec''25'!AK19+'[2]Apr-Sep''25'!AK19</f>
        <v>2640</v>
      </c>
      <c r="AG19" s="8">
        <f t="shared" si="66"/>
        <v>0.96738732136313665</v>
      </c>
      <c r="AH19" s="13">
        <f>'[2]Oct-Dec''25'!AM19+'[2]Apr-Sep''25'!AM19</f>
        <v>0</v>
      </c>
      <c r="AI19" s="13">
        <f>'[2]Oct-Dec''25'!AN19+'[2]Apr-Sep''25'!AN19</f>
        <v>0</v>
      </c>
      <c r="AJ19" s="8" t="e">
        <f t="shared" si="67"/>
        <v>#DIV/0!</v>
      </c>
      <c r="AK19" s="13">
        <f>'[2]Oct-Dec''25'!AP19+'[2]Apr-Sep''25'!AP19</f>
        <v>235</v>
      </c>
      <c r="AL19" s="13">
        <f>'[2]Oct-Dec''25'!AQ19+'[2]Apr-Sep''25'!AQ19</f>
        <v>152</v>
      </c>
      <c r="AM19" s="8">
        <f t="shared" si="68"/>
        <v>0.64680851063829792</v>
      </c>
      <c r="AN19" s="13">
        <f>'[2]Oct-Dec''25'!AS19+'[2]Apr-Sep''25'!AS19</f>
        <v>105</v>
      </c>
      <c r="AO19" s="13">
        <f>'[2]Oct-Dec''25'!AT19+'[2]Apr-Sep''25'!AT19</f>
        <v>97</v>
      </c>
      <c r="AP19" s="8">
        <f t="shared" si="69"/>
        <v>0.92380952380952386</v>
      </c>
      <c r="AQ19" s="13">
        <f>'[2]Oct-Dec''25'!AV19+'[2]Apr-Sep''25'!AV19</f>
        <v>0</v>
      </c>
      <c r="AR19" s="13">
        <f>'[2]Oct-Dec''25'!AW19+'[2]Apr-Sep''25'!AW19</f>
        <v>0</v>
      </c>
      <c r="AS19" s="8" t="e">
        <f t="shared" si="70"/>
        <v>#DIV/0!</v>
      </c>
      <c r="AT19" s="13">
        <f>'[2]Oct-Dec''25'!AY19+'[2]Apr-Sep''25'!AY19</f>
        <v>42</v>
      </c>
      <c r="AU19" s="13">
        <f>'[2]Oct-Dec''25'!AZ19+'[2]Apr-Sep''25'!AZ19</f>
        <v>42</v>
      </c>
      <c r="AV19" s="8">
        <f t="shared" si="71"/>
        <v>1</v>
      </c>
      <c r="AW19" s="9">
        <f t="shared" si="72"/>
        <v>147</v>
      </c>
      <c r="AX19" s="9">
        <f t="shared" si="73"/>
        <v>139</v>
      </c>
      <c r="AY19" s="8">
        <f t="shared" si="74"/>
        <v>0.94557823129251706</v>
      </c>
      <c r="AZ19" s="13">
        <f>'[2]Oct-Dec''25'!BB19+'[2]Apr-Sep''25'!BB19</f>
        <v>178</v>
      </c>
      <c r="BA19" s="13">
        <f>'[2]Oct-Dec''25'!BC19+'[2]Apr-Sep''25'!BC19</f>
        <v>173</v>
      </c>
      <c r="BB19" s="14">
        <f t="shared" si="75"/>
        <v>0.9719101123595506</v>
      </c>
      <c r="BC19" s="13">
        <f>'[2]Oct-Dec''25'!BE19+'[2]Apr-Sep''25'!BE19</f>
        <v>37</v>
      </c>
      <c r="BD19" s="13">
        <f>'[2]Oct-Dec''25'!BF19+'[2]Apr-Sep''25'!BF19</f>
        <v>55</v>
      </c>
      <c r="BE19" s="14">
        <f t="shared" si="76"/>
        <v>1.4864864864864864</v>
      </c>
      <c r="BF19" s="13">
        <f>'[2]Oct-Dec''25'!BH19+'[2]Apr-Sep''25'!BH19</f>
        <v>77</v>
      </c>
      <c r="BG19" s="13">
        <f>'[2]Oct-Dec''25'!BI19+'[2]Apr-Sep''25'!BI19</f>
        <v>75</v>
      </c>
      <c r="BH19" s="14">
        <f t="shared" si="77"/>
        <v>0.97402597402597402</v>
      </c>
      <c r="BI19" s="13">
        <f>'[2]Oct-Dec''25'!BK19+'[2]Apr-Sep''25'!BK19</f>
        <v>91</v>
      </c>
      <c r="BJ19" s="13">
        <f>'[2]Oct-Dec''25'!BL19+'[2]Apr-Sep''25'!BL19</f>
        <v>91</v>
      </c>
      <c r="BK19" s="15">
        <f t="shared" si="78"/>
        <v>1</v>
      </c>
      <c r="BL19" s="13">
        <f>'[2]Oct-Dec''25'!BN19+'[2]Apr-Sep''25'!BN19</f>
        <v>63</v>
      </c>
      <c r="BM19" s="13">
        <f>'[2]Oct-Dec''25'!BO19+'[2]Apr-Sep''25'!BO19</f>
        <v>61</v>
      </c>
      <c r="BN19" s="15">
        <f t="shared" si="79"/>
        <v>0.96825396825396826</v>
      </c>
      <c r="BO19" s="13">
        <f>'[2]Oct-Dec''25'!BQ19+'[2]Apr-Sep''25'!BQ19</f>
        <v>45</v>
      </c>
      <c r="BP19" s="13">
        <f>'[2]Oct-Dec''25'!BR19+'[2]Apr-Sep''25'!BR19</f>
        <v>44</v>
      </c>
      <c r="BQ19" s="15">
        <f t="shared" si="80"/>
        <v>0.97777777777777775</v>
      </c>
      <c r="BR19" s="13">
        <f>'[2]Oct-Dec''25'!BT19+'[2]Apr-Sep''25'!BT19</f>
        <v>13</v>
      </c>
      <c r="BS19" s="13">
        <f>'[2]Oct-Dec''25'!BU19+'[2]Apr-Sep''25'!BU19</f>
        <v>13</v>
      </c>
      <c r="BT19" s="14">
        <f t="shared" si="81"/>
        <v>1</v>
      </c>
      <c r="BU19" s="13">
        <f>'[2]Oct-Dec''25'!BW19+'[2]Apr-Sep''25'!BW19</f>
        <v>0</v>
      </c>
      <c r="BV19" s="13">
        <f>'[2]Oct-Dec''25'!BX19+'[2]Apr-Sep''25'!BX19</f>
        <v>0</v>
      </c>
      <c r="BW19" s="14">
        <f t="shared" si="82"/>
        <v>0</v>
      </c>
      <c r="BX19" s="13">
        <f>'[2]Oct-Dec''25'!BZ19+'[2]Apr-Sep''25'!BZ19</f>
        <v>643</v>
      </c>
      <c r="BY19" s="13">
        <f>'[2]Oct-Dec''25'!CA19+'[2]Apr-Sep''25'!CA19</f>
        <v>431</v>
      </c>
      <c r="BZ19" s="14">
        <f t="shared" si="83"/>
        <v>0.6702954898911353</v>
      </c>
      <c r="CA19" s="13">
        <f>'[2]Oct-Dec''25'!CC19+'[2]Apr-Sep''25'!CC19</f>
        <v>147</v>
      </c>
      <c r="CB19" s="13">
        <f>'[2]Oct-Dec''25'!CD19+'[2]Apr-Sep''25'!CD19</f>
        <v>139</v>
      </c>
      <c r="CC19" s="14">
        <f t="shared" si="84"/>
        <v>0.94557823129251706</v>
      </c>
      <c r="CD19" s="13">
        <f>'[2]Oct-Dec''25'!CF19+'[2]Apr-Sep''25'!CF19</f>
        <v>0</v>
      </c>
      <c r="CE19" s="13">
        <f>'[2]Oct-Dec''25'!CG19+'[2]Apr-Sep''25'!CG19</f>
        <v>0</v>
      </c>
      <c r="CF19" s="14">
        <f t="shared" si="85"/>
        <v>0</v>
      </c>
    </row>
    <row r="20" spans="1:84" x14ac:dyDescent="0.25">
      <c r="A20" s="12">
        <f>'[2]Oct-Dec''25'!A20</f>
        <v>14</v>
      </c>
      <c r="B20" s="12" t="str">
        <f>'[2]Oct-Dec''25'!B20</f>
        <v>CHRI</v>
      </c>
      <c r="C20" s="1" t="str">
        <f>'[2]Oct-Dec''25'!C20</f>
        <v>Bihar</v>
      </c>
      <c r="D20" s="3" t="str">
        <f>'[2]Oct-Dec''25'!D20</f>
        <v>BNP+</v>
      </c>
      <c r="E20" s="1" t="str">
        <f>'[2]Oct-Dec''25'!E20</f>
        <v>VAISHALI</v>
      </c>
      <c r="F20" s="12" t="s">
        <v>85</v>
      </c>
      <c r="G20" s="13">
        <f>'[2]Oct-Dec''25'!H20+'[2]Apr-Sep''25'!H20</f>
        <v>351</v>
      </c>
      <c r="H20" s="13">
        <f>'[2]Oct-Dec''25'!I20+'[2]Apr-Sep''25'!I20</f>
        <v>337</v>
      </c>
      <c r="I20" s="7">
        <f t="shared" si="59"/>
        <v>0.96011396011396011</v>
      </c>
      <c r="J20" s="13">
        <f>'[2]Oct-Dec''25'!K20+'[2]Apr-Sep''25'!K20</f>
        <v>252</v>
      </c>
      <c r="K20" s="13">
        <f>'[2]Oct-Dec''25'!L20+'[2]Apr-Sep''25'!L20</f>
        <v>240</v>
      </c>
      <c r="L20" s="7">
        <f t="shared" si="86"/>
        <v>0.95238095238095233</v>
      </c>
      <c r="M20" s="13">
        <f>'[2]Oct-Dec''25'!N20+'[2]Apr-Sep''25'!N20</f>
        <v>322</v>
      </c>
      <c r="N20" s="13">
        <f>'[2]Oct-Dec''25'!O20+'[2]Apr-Sep''25'!O20</f>
        <v>322</v>
      </c>
      <c r="O20" s="8">
        <f t="shared" si="60"/>
        <v>1</v>
      </c>
      <c r="P20" s="13">
        <f>'[2]Oct-Dec''25'!Q20+'[2]Apr-Sep''25'!Q20</f>
        <v>292</v>
      </c>
      <c r="Q20" s="13">
        <f>'[2]Oct-Dec''25'!R20+'[2]Apr-Sep''25'!R20</f>
        <v>244</v>
      </c>
      <c r="R20" s="8">
        <f t="shared" si="61"/>
        <v>0.83561643835616439</v>
      </c>
      <c r="S20" s="13">
        <f>'[2]Oct-Dec''25'!T20+'[2]Apr-Sep''25'!T20</f>
        <v>2976</v>
      </c>
      <c r="T20" s="13">
        <f>'[2]Oct-Dec''25'!U20+'[2]Apr-Sep''25'!U20</f>
        <v>2779</v>
      </c>
      <c r="U20" s="8">
        <f t="shared" si="62"/>
        <v>0.93380376344086025</v>
      </c>
      <c r="V20" s="13">
        <f>'[2]Oct-Dec''25'!W20+'[2]Apr-Sep''25'!W20</f>
        <v>309</v>
      </c>
      <c r="W20" s="13">
        <f>'[2]Oct-Dec''25'!Y20+'[2]Apr-Sep''25'!Y20</f>
        <v>212</v>
      </c>
      <c r="X20" s="8">
        <f t="shared" si="63"/>
        <v>0.68608414239482196</v>
      </c>
      <c r="Y20" s="13">
        <f>'[2]Oct-Dec''25'!AA20+'[2]Apr-Sep''25'!AA20</f>
        <v>37</v>
      </c>
      <c r="Z20" s="13">
        <f>'[2]Oct-Dec''25'!AB20+'[2]Apr-Sep''25'!AB20</f>
        <v>37</v>
      </c>
      <c r="AA20" s="8">
        <f t="shared" si="64"/>
        <v>1</v>
      </c>
      <c r="AB20" s="13">
        <f>'[2]Oct-Dec''25'!AD20+'[2]Apr-Sep''25'!AD20</f>
        <v>55</v>
      </c>
      <c r="AC20" s="13">
        <f>'[2]Oct-Dec''25'!AE20+'[2]Apr-Sep''25'!AE20</f>
        <v>17</v>
      </c>
      <c r="AD20" s="8">
        <f t="shared" si="65"/>
        <v>0.30909090909090908</v>
      </c>
      <c r="AE20" s="13">
        <f>'[2]Oct-Dec''25'!AJ20+'[2]Apr-Sep''25'!AJ20</f>
        <v>775</v>
      </c>
      <c r="AF20" s="13">
        <f>'[2]Oct-Dec''25'!AK20+'[2]Apr-Sep''25'!AK20</f>
        <v>762</v>
      </c>
      <c r="AG20" s="8">
        <f t="shared" si="66"/>
        <v>0.98322580645161295</v>
      </c>
      <c r="AH20" s="13">
        <f>'[2]Oct-Dec''25'!AM20+'[2]Apr-Sep''25'!AM20</f>
        <v>0</v>
      </c>
      <c r="AI20" s="13">
        <f>'[2]Oct-Dec''25'!AN20+'[2]Apr-Sep''25'!AN20</f>
        <v>0</v>
      </c>
      <c r="AJ20" s="8" t="e">
        <f t="shared" si="67"/>
        <v>#DIV/0!</v>
      </c>
      <c r="AK20" s="13">
        <f>'[2]Oct-Dec''25'!AP20+'[2]Apr-Sep''25'!AP20</f>
        <v>276</v>
      </c>
      <c r="AL20" s="13">
        <f>'[2]Oct-Dec''25'!AQ20+'[2]Apr-Sep''25'!AQ20</f>
        <v>240</v>
      </c>
      <c r="AM20" s="8">
        <f t="shared" si="68"/>
        <v>0.86956521739130432</v>
      </c>
      <c r="AN20" s="13">
        <f>'[2]Oct-Dec''25'!AS20+'[2]Apr-Sep''25'!AS20</f>
        <v>23</v>
      </c>
      <c r="AO20" s="13">
        <f>'[2]Oct-Dec''25'!AT20+'[2]Apr-Sep''25'!AT20</f>
        <v>23</v>
      </c>
      <c r="AP20" s="8">
        <f t="shared" si="69"/>
        <v>1</v>
      </c>
      <c r="AQ20" s="13">
        <f>'[2]Oct-Dec''25'!AV20+'[2]Apr-Sep''25'!AV20</f>
        <v>0</v>
      </c>
      <c r="AR20" s="13">
        <f>'[2]Oct-Dec''25'!AW20+'[2]Apr-Sep''25'!AW20</f>
        <v>0</v>
      </c>
      <c r="AS20" s="8" t="e">
        <f t="shared" si="70"/>
        <v>#DIV/0!</v>
      </c>
      <c r="AT20" s="13">
        <f>'[2]Oct-Dec''25'!AY20+'[2]Apr-Sep''25'!AY20</f>
        <v>93</v>
      </c>
      <c r="AU20" s="13">
        <f>'[2]Oct-Dec''25'!AZ20+'[2]Apr-Sep''25'!AZ20</f>
        <v>93</v>
      </c>
      <c r="AV20" s="8">
        <f t="shared" si="71"/>
        <v>1</v>
      </c>
      <c r="AW20" s="9">
        <f t="shared" si="72"/>
        <v>116</v>
      </c>
      <c r="AX20" s="9">
        <f t="shared" si="73"/>
        <v>116</v>
      </c>
      <c r="AY20" s="8">
        <f t="shared" si="74"/>
        <v>1</v>
      </c>
      <c r="AZ20" s="13">
        <f>'[2]Oct-Dec''25'!BB20+'[2]Apr-Sep''25'!BB20</f>
        <v>127</v>
      </c>
      <c r="BA20" s="13">
        <f>'[2]Oct-Dec''25'!BC20+'[2]Apr-Sep''25'!BC20</f>
        <v>127</v>
      </c>
      <c r="BB20" s="14">
        <f t="shared" si="75"/>
        <v>1</v>
      </c>
      <c r="BC20" s="13">
        <f>'[2]Oct-Dec''25'!BE20+'[2]Apr-Sep''25'!BE20</f>
        <v>5</v>
      </c>
      <c r="BD20" s="13">
        <f>'[2]Oct-Dec''25'!BF20+'[2]Apr-Sep''25'!BF20</f>
        <v>5</v>
      </c>
      <c r="BE20" s="14">
        <f t="shared" si="76"/>
        <v>1</v>
      </c>
      <c r="BF20" s="13">
        <f>'[2]Oct-Dec''25'!BH20+'[2]Apr-Sep''25'!BH20</f>
        <v>38</v>
      </c>
      <c r="BG20" s="13">
        <f>'[2]Oct-Dec''25'!BI20+'[2]Apr-Sep''25'!BI20</f>
        <v>38</v>
      </c>
      <c r="BH20" s="14">
        <f t="shared" si="77"/>
        <v>1</v>
      </c>
      <c r="BI20" s="13">
        <f>'[2]Oct-Dec''25'!BK20+'[2]Apr-Sep''25'!BK20</f>
        <v>48</v>
      </c>
      <c r="BJ20" s="13">
        <f>'[2]Oct-Dec''25'!BL20+'[2]Apr-Sep''25'!BL20</f>
        <v>48</v>
      </c>
      <c r="BK20" s="15">
        <f t="shared" si="78"/>
        <v>1</v>
      </c>
      <c r="BL20" s="13">
        <f>'[2]Oct-Dec''25'!BN20+'[2]Apr-Sep''25'!BN20</f>
        <v>29</v>
      </c>
      <c r="BM20" s="13">
        <f>'[2]Oct-Dec''25'!BO20+'[2]Apr-Sep''25'!BO20</f>
        <v>29</v>
      </c>
      <c r="BN20" s="15">
        <f t="shared" si="79"/>
        <v>1</v>
      </c>
      <c r="BO20" s="13">
        <f>'[2]Oct-Dec''25'!BQ20+'[2]Apr-Sep''25'!BQ20</f>
        <v>30</v>
      </c>
      <c r="BP20" s="13">
        <f>'[2]Oct-Dec''25'!BR20+'[2]Apr-Sep''25'!BR20</f>
        <v>30</v>
      </c>
      <c r="BQ20" s="15">
        <f t="shared" si="80"/>
        <v>1</v>
      </c>
      <c r="BR20" s="13">
        <f>'[2]Oct-Dec''25'!BT20+'[2]Apr-Sep''25'!BT20</f>
        <v>24</v>
      </c>
      <c r="BS20" s="13">
        <f>'[2]Oct-Dec''25'!BU20+'[2]Apr-Sep''25'!BU20</f>
        <v>24</v>
      </c>
      <c r="BT20" s="14">
        <f t="shared" si="81"/>
        <v>1</v>
      </c>
      <c r="BU20" s="13">
        <f>'[2]Oct-Dec''25'!BW20+'[2]Apr-Sep''25'!BW20</f>
        <v>0</v>
      </c>
      <c r="BV20" s="13">
        <f>'[2]Oct-Dec''25'!BX20+'[2]Apr-Sep''25'!BX20</f>
        <v>0</v>
      </c>
      <c r="BW20" s="14">
        <f t="shared" si="82"/>
        <v>0</v>
      </c>
      <c r="BX20" s="13">
        <f>'[2]Oct-Dec''25'!BZ20+'[2]Apr-Sep''25'!BZ20</f>
        <v>337</v>
      </c>
      <c r="BY20" s="13">
        <f>'[2]Oct-Dec''25'!CA20+'[2]Apr-Sep''25'!CA20</f>
        <v>342</v>
      </c>
      <c r="BZ20" s="14">
        <f t="shared" si="83"/>
        <v>1.0148367952522255</v>
      </c>
      <c r="CA20" s="13">
        <f>'[2]Oct-Dec''25'!CC20+'[2]Apr-Sep''25'!CC20</f>
        <v>22</v>
      </c>
      <c r="CB20" s="13">
        <f>'[2]Oct-Dec''25'!CD20+'[2]Apr-Sep''25'!CD20</f>
        <v>22</v>
      </c>
      <c r="CC20" s="14">
        <f t="shared" si="84"/>
        <v>1</v>
      </c>
      <c r="CD20" s="13">
        <f>'[2]Oct-Dec''25'!CF20+'[2]Apr-Sep''25'!CF20</f>
        <v>50</v>
      </c>
      <c r="CE20" s="13">
        <f>'[2]Oct-Dec''25'!CG20+'[2]Apr-Sep''25'!CG20</f>
        <v>50</v>
      </c>
      <c r="CF20" s="14">
        <f t="shared" si="85"/>
        <v>1</v>
      </c>
    </row>
    <row r="21" spans="1:84" ht="36" x14ac:dyDescent="0.25">
      <c r="A21" s="12">
        <f>'[2]Oct-Dec''25'!A21</f>
        <v>15</v>
      </c>
      <c r="B21" s="12" t="str">
        <f>'[2]Oct-Dec''25'!B21</f>
        <v>CHRI</v>
      </c>
      <c r="C21" s="1" t="str">
        <f>'[2]Oct-Dec''25'!C21</f>
        <v>Bihar</v>
      </c>
      <c r="D21" s="3" t="str">
        <f>'[2]Oct-Dec''25'!D21</f>
        <v>AIDENT SOCIAL WELFARE ORGANISATION</v>
      </c>
      <c r="E21" s="1" t="str">
        <f>'[2]Oct-Dec''25'!E21</f>
        <v>BEGUSARAI</v>
      </c>
      <c r="F21" s="12" t="s">
        <v>85</v>
      </c>
      <c r="G21" s="13">
        <f>'[2]Oct-Dec''25'!H21+'[2]Apr-Sep''25'!H21</f>
        <v>484</v>
      </c>
      <c r="H21" s="13">
        <f>'[2]Oct-Dec''25'!I21+'[2]Apr-Sep''25'!I21</f>
        <v>463</v>
      </c>
      <c r="I21" s="7">
        <f t="shared" si="59"/>
        <v>0.95661157024793386</v>
      </c>
      <c r="J21" s="13">
        <f>'[2]Oct-Dec''25'!K21+'[2]Apr-Sep''25'!K21</f>
        <v>232</v>
      </c>
      <c r="K21" s="13">
        <f>'[2]Oct-Dec''25'!L21+'[2]Apr-Sep''25'!L21</f>
        <v>232</v>
      </c>
      <c r="L21" s="7">
        <f t="shared" si="86"/>
        <v>1</v>
      </c>
      <c r="M21" s="13">
        <f>'[2]Oct-Dec''25'!N21+'[2]Apr-Sep''25'!N21</f>
        <v>474</v>
      </c>
      <c r="N21" s="13">
        <f>'[2]Oct-Dec''25'!O21+'[2]Apr-Sep''25'!O21</f>
        <v>462</v>
      </c>
      <c r="O21" s="8">
        <f t="shared" si="60"/>
        <v>0.97468354430379744</v>
      </c>
      <c r="P21" s="13">
        <f>'[2]Oct-Dec''25'!Q21+'[2]Apr-Sep''25'!Q21</f>
        <v>484</v>
      </c>
      <c r="Q21" s="13">
        <f>'[2]Oct-Dec''25'!R21+'[2]Apr-Sep''25'!R21</f>
        <v>412</v>
      </c>
      <c r="R21" s="8">
        <f t="shared" si="61"/>
        <v>0.85123966942148765</v>
      </c>
      <c r="S21" s="13">
        <f>'[2]Oct-Dec''25'!T21+'[2]Apr-Sep''25'!T21</f>
        <v>4408</v>
      </c>
      <c r="T21" s="13">
        <f>'[2]Oct-Dec''25'!U21+'[2]Apr-Sep''25'!U21</f>
        <v>3159</v>
      </c>
      <c r="U21" s="8">
        <f t="shared" si="62"/>
        <v>0.71665154264972775</v>
      </c>
      <c r="V21" s="13">
        <f>'[2]Oct-Dec''25'!W21+'[2]Apr-Sep''25'!W21</f>
        <v>375</v>
      </c>
      <c r="W21" s="13">
        <f>'[2]Oct-Dec''25'!Y21+'[2]Apr-Sep''25'!Y21</f>
        <v>285</v>
      </c>
      <c r="X21" s="8">
        <f t="shared" si="63"/>
        <v>0.76</v>
      </c>
      <c r="Y21" s="13">
        <f>'[2]Oct-Dec''25'!AA21+'[2]Apr-Sep''25'!AA21</f>
        <v>124</v>
      </c>
      <c r="Z21" s="13">
        <f>'[2]Oct-Dec''25'!AB21+'[2]Apr-Sep''25'!AB21</f>
        <v>120</v>
      </c>
      <c r="AA21" s="8">
        <f t="shared" si="64"/>
        <v>0.967741935483871</v>
      </c>
      <c r="AB21" s="13">
        <f>'[2]Oct-Dec''25'!AD21+'[2]Apr-Sep''25'!AD21</f>
        <v>78</v>
      </c>
      <c r="AC21" s="13">
        <f>'[2]Oct-Dec''25'!AE21+'[2]Apr-Sep''25'!AE21</f>
        <v>23</v>
      </c>
      <c r="AD21" s="8">
        <f t="shared" si="65"/>
        <v>0.29487179487179488</v>
      </c>
      <c r="AE21" s="13">
        <f>'[2]Oct-Dec''25'!AJ21+'[2]Apr-Sep''25'!AJ21</f>
        <v>1133</v>
      </c>
      <c r="AF21" s="13">
        <f>'[2]Oct-Dec''25'!AK21+'[2]Apr-Sep''25'!AK21</f>
        <v>1133</v>
      </c>
      <c r="AG21" s="8">
        <f t="shared" si="66"/>
        <v>1</v>
      </c>
      <c r="AH21" s="13">
        <f>'[2]Oct-Dec''25'!AM21+'[2]Apr-Sep''25'!AM21</f>
        <v>0</v>
      </c>
      <c r="AI21" s="13">
        <f>'[2]Oct-Dec''25'!AN21+'[2]Apr-Sep''25'!AN21</f>
        <v>0</v>
      </c>
      <c r="AJ21" s="8" t="e">
        <f t="shared" si="67"/>
        <v>#DIV/0!</v>
      </c>
      <c r="AK21" s="13">
        <f>'[2]Oct-Dec''25'!AP21+'[2]Apr-Sep''25'!AP21</f>
        <v>331</v>
      </c>
      <c r="AL21" s="13">
        <f>'[2]Oct-Dec''25'!AQ21+'[2]Apr-Sep''25'!AQ21</f>
        <v>52</v>
      </c>
      <c r="AM21" s="8">
        <f t="shared" si="68"/>
        <v>0.15709969788519637</v>
      </c>
      <c r="AN21" s="13">
        <f>'[2]Oct-Dec''25'!AS21+'[2]Apr-Sep''25'!AS21</f>
        <v>33</v>
      </c>
      <c r="AO21" s="13">
        <f>'[2]Oct-Dec''25'!AT21+'[2]Apr-Sep''25'!AT21</f>
        <v>33</v>
      </c>
      <c r="AP21" s="8">
        <f t="shared" si="69"/>
        <v>1</v>
      </c>
      <c r="AQ21" s="13">
        <f>'[2]Oct-Dec''25'!AV21+'[2]Apr-Sep''25'!AV21</f>
        <v>0</v>
      </c>
      <c r="AR21" s="13">
        <f>'[2]Oct-Dec''25'!AW21+'[2]Apr-Sep''25'!AW21</f>
        <v>0</v>
      </c>
      <c r="AS21" s="8" t="e">
        <f t="shared" si="70"/>
        <v>#DIV/0!</v>
      </c>
      <c r="AT21" s="13">
        <f>'[2]Oct-Dec''25'!AY21+'[2]Apr-Sep''25'!AY21</f>
        <v>130</v>
      </c>
      <c r="AU21" s="13">
        <f>'[2]Oct-Dec''25'!AZ21+'[2]Apr-Sep''25'!AZ21</f>
        <v>130</v>
      </c>
      <c r="AV21" s="8">
        <f t="shared" si="71"/>
        <v>1</v>
      </c>
      <c r="AW21" s="9">
        <f t="shared" si="72"/>
        <v>163</v>
      </c>
      <c r="AX21" s="9">
        <f t="shared" si="73"/>
        <v>163</v>
      </c>
      <c r="AY21" s="8">
        <f t="shared" si="74"/>
        <v>1</v>
      </c>
      <c r="AZ21" s="13">
        <f>'[2]Oct-Dec''25'!BB21+'[2]Apr-Sep''25'!BB21</f>
        <v>120</v>
      </c>
      <c r="BA21" s="13">
        <f>'[2]Oct-Dec''25'!BC21+'[2]Apr-Sep''25'!BC21</f>
        <v>120</v>
      </c>
      <c r="BB21" s="14">
        <f t="shared" si="75"/>
        <v>1</v>
      </c>
      <c r="BC21" s="13">
        <f>'[2]Oct-Dec''25'!BE21+'[2]Apr-Sep''25'!BE21</f>
        <v>6</v>
      </c>
      <c r="BD21" s="13">
        <f>'[2]Oct-Dec''25'!BF21+'[2]Apr-Sep''25'!BF21</f>
        <v>10</v>
      </c>
      <c r="BE21" s="14">
        <f t="shared" si="76"/>
        <v>1.6666666666666667</v>
      </c>
      <c r="BF21" s="13">
        <f>'[2]Oct-Dec''25'!BH21+'[2]Apr-Sep''25'!BH21</f>
        <v>18</v>
      </c>
      <c r="BG21" s="13">
        <f>'[2]Oct-Dec''25'!BI21+'[2]Apr-Sep''25'!BI21</f>
        <v>18</v>
      </c>
      <c r="BH21" s="14">
        <f t="shared" si="77"/>
        <v>1</v>
      </c>
      <c r="BI21" s="13">
        <f>'[2]Oct-Dec''25'!BK21+'[2]Apr-Sep''25'!BK21</f>
        <v>53</v>
      </c>
      <c r="BJ21" s="13">
        <f>'[2]Oct-Dec''25'!BL21+'[2]Apr-Sep''25'!BL21</f>
        <v>52</v>
      </c>
      <c r="BK21" s="15">
        <f t="shared" si="78"/>
        <v>0.98113207547169812</v>
      </c>
      <c r="BL21" s="13">
        <f>'[2]Oct-Dec''25'!BN21+'[2]Apr-Sep''25'!BN21</f>
        <v>45</v>
      </c>
      <c r="BM21" s="13">
        <f>'[2]Oct-Dec''25'!BO21+'[2]Apr-Sep''25'!BO21</f>
        <v>37</v>
      </c>
      <c r="BN21" s="15">
        <f t="shared" si="79"/>
        <v>0.82222222222222219</v>
      </c>
      <c r="BO21" s="13">
        <f>'[2]Oct-Dec''25'!BQ21+'[2]Apr-Sep''25'!BQ21</f>
        <v>27</v>
      </c>
      <c r="BP21" s="13">
        <f>'[2]Oct-Dec''25'!BR21+'[2]Apr-Sep''25'!BR21</f>
        <v>25</v>
      </c>
      <c r="BQ21" s="15">
        <f t="shared" si="80"/>
        <v>0.92592592592592593</v>
      </c>
      <c r="BR21" s="13">
        <f>'[2]Oct-Dec''25'!BT21+'[2]Apr-Sep''25'!BT21</f>
        <v>50</v>
      </c>
      <c r="BS21" s="13">
        <f>'[2]Oct-Dec''25'!BU21+'[2]Apr-Sep''25'!BU21</f>
        <v>44</v>
      </c>
      <c r="BT21" s="14">
        <f t="shared" si="81"/>
        <v>0.88</v>
      </c>
      <c r="BU21" s="13">
        <f>'[2]Oct-Dec''25'!BW21+'[2]Apr-Sep''25'!BW21</f>
        <v>0</v>
      </c>
      <c r="BV21" s="13">
        <f>'[2]Oct-Dec''25'!BX21+'[2]Apr-Sep''25'!BX21</f>
        <v>0</v>
      </c>
      <c r="BW21" s="14">
        <f t="shared" si="82"/>
        <v>0</v>
      </c>
      <c r="BX21" s="13">
        <f>'[2]Oct-Dec''25'!BZ21+'[2]Apr-Sep''25'!BZ21</f>
        <v>463</v>
      </c>
      <c r="BY21" s="13">
        <f>'[2]Oct-Dec''25'!CA21+'[2]Apr-Sep''25'!CA21</f>
        <v>471</v>
      </c>
      <c r="BZ21" s="14">
        <f t="shared" si="83"/>
        <v>1.0172786177105833</v>
      </c>
      <c r="CA21" s="13">
        <f>'[2]Oct-Dec''25'!CC21+'[2]Apr-Sep''25'!CC21</f>
        <v>59</v>
      </c>
      <c r="CB21" s="13">
        <f>'[2]Oct-Dec''25'!CD21+'[2]Apr-Sep''25'!CD21</f>
        <v>59</v>
      </c>
      <c r="CC21" s="14">
        <f t="shared" si="84"/>
        <v>1</v>
      </c>
      <c r="CD21" s="13">
        <f>'[2]Oct-Dec''25'!CF21+'[2]Apr-Sep''25'!CF21</f>
        <v>0</v>
      </c>
      <c r="CE21" s="13">
        <f>'[2]Oct-Dec''25'!CG21+'[2]Apr-Sep''25'!CG21</f>
        <v>0</v>
      </c>
      <c r="CF21" s="14">
        <f t="shared" si="85"/>
        <v>0</v>
      </c>
    </row>
    <row r="22" spans="1:84" x14ac:dyDescent="0.25">
      <c r="A22" s="12">
        <f>'[2]Oct-Dec''25'!A22</f>
        <v>16</v>
      </c>
      <c r="B22" s="12" t="str">
        <f>'[2]Oct-Dec''25'!B22</f>
        <v>CHRI</v>
      </c>
      <c r="C22" s="1" t="str">
        <f>'[2]Oct-Dec''25'!C22</f>
        <v>Bihar</v>
      </c>
      <c r="D22" s="3" t="str">
        <f>'[2]Oct-Dec''25'!D22</f>
        <v>CENTRE DIRECT</v>
      </c>
      <c r="E22" s="1" t="str">
        <f>'[2]Oct-Dec''25'!E22</f>
        <v>SITAMARHI</v>
      </c>
      <c r="F22" s="12" t="s">
        <v>85</v>
      </c>
      <c r="G22" s="13">
        <f>'[2]Oct-Dec''25'!H22+'[2]Apr-Sep''25'!H22</f>
        <v>347</v>
      </c>
      <c r="H22" s="13">
        <f>'[2]Oct-Dec''25'!I22+'[2]Apr-Sep''25'!I22</f>
        <v>341</v>
      </c>
      <c r="I22" s="7">
        <f t="shared" si="59"/>
        <v>0.98270893371757928</v>
      </c>
      <c r="J22" s="13">
        <f>'[2]Oct-Dec''25'!K22+'[2]Apr-Sep''25'!K22</f>
        <v>248</v>
      </c>
      <c r="K22" s="13">
        <f>'[2]Oct-Dec''25'!L22+'[2]Apr-Sep''25'!L22</f>
        <v>245</v>
      </c>
      <c r="L22" s="7">
        <f t="shared" si="86"/>
        <v>0.98790322580645162</v>
      </c>
      <c r="M22" s="13">
        <f>'[2]Oct-Dec''25'!N22+'[2]Apr-Sep''25'!N22</f>
        <v>332</v>
      </c>
      <c r="N22" s="13">
        <f>'[2]Oct-Dec''25'!O22+'[2]Apr-Sep''25'!O22</f>
        <v>332</v>
      </c>
      <c r="O22" s="8">
        <f t="shared" si="60"/>
        <v>1</v>
      </c>
      <c r="P22" s="13">
        <f>'[2]Oct-Dec''25'!Q22+'[2]Apr-Sep''25'!Q22</f>
        <v>273</v>
      </c>
      <c r="Q22" s="13">
        <f>'[2]Oct-Dec''25'!R22+'[2]Apr-Sep''25'!R22</f>
        <v>245</v>
      </c>
      <c r="R22" s="8">
        <f t="shared" si="61"/>
        <v>0.89743589743589747</v>
      </c>
      <c r="S22" s="13">
        <f>'[2]Oct-Dec''25'!T22+'[2]Apr-Sep''25'!T22</f>
        <v>2085</v>
      </c>
      <c r="T22" s="13">
        <f>'[2]Oct-Dec''25'!U22+'[2]Apr-Sep''25'!U22</f>
        <v>1761</v>
      </c>
      <c r="U22" s="8">
        <f t="shared" si="62"/>
        <v>0.8446043165467626</v>
      </c>
      <c r="V22" s="13">
        <f>'[2]Oct-Dec''25'!W22+'[2]Apr-Sep''25'!W22</f>
        <v>455</v>
      </c>
      <c r="W22" s="13">
        <f>'[2]Oct-Dec''25'!Y22+'[2]Apr-Sep''25'!Y22</f>
        <v>263</v>
      </c>
      <c r="X22" s="8">
        <f t="shared" si="63"/>
        <v>0.57802197802197797</v>
      </c>
      <c r="Y22" s="13">
        <f>'[2]Oct-Dec''25'!AA22+'[2]Apr-Sep''25'!AA22</f>
        <v>0</v>
      </c>
      <c r="Z22" s="13">
        <f>'[2]Oct-Dec''25'!AB22+'[2]Apr-Sep''25'!AB22</f>
        <v>0</v>
      </c>
      <c r="AA22" s="8" t="e">
        <f t="shared" si="64"/>
        <v>#DIV/0!</v>
      </c>
      <c r="AB22" s="13">
        <f>'[2]Oct-Dec''25'!AD22+'[2]Apr-Sep''25'!AD22</f>
        <v>0</v>
      </c>
      <c r="AC22" s="13">
        <f>'[2]Oct-Dec''25'!AE22+'[2]Apr-Sep''25'!AE22</f>
        <v>0</v>
      </c>
      <c r="AD22" s="8" t="e">
        <f t="shared" si="65"/>
        <v>#DIV/0!</v>
      </c>
      <c r="AE22" s="13">
        <f>'[2]Oct-Dec''25'!AJ22+'[2]Apr-Sep''25'!AJ22</f>
        <v>1555</v>
      </c>
      <c r="AF22" s="13">
        <f>'[2]Oct-Dec''25'!AK22+'[2]Apr-Sep''25'!AK22</f>
        <v>834</v>
      </c>
      <c r="AG22" s="8">
        <f t="shared" si="66"/>
        <v>0.53633440514469455</v>
      </c>
      <c r="AH22" s="13">
        <f>'[2]Oct-Dec''25'!AM22+'[2]Apr-Sep''25'!AM22</f>
        <v>0</v>
      </c>
      <c r="AI22" s="13">
        <f>'[2]Oct-Dec''25'!AN22+'[2]Apr-Sep''25'!AN22</f>
        <v>0</v>
      </c>
      <c r="AJ22" s="8" t="e">
        <f t="shared" si="67"/>
        <v>#DIV/0!</v>
      </c>
      <c r="AK22" s="13">
        <f>'[2]Oct-Dec''25'!AP22+'[2]Apr-Sep''25'!AP22</f>
        <v>245</v>
      </c>
      <c r="AL22" s="13">
        <f>'[2]Oct-Dec''25'!AQ22+'[2]Apr-Sep''25'!AQ22</f>
        <v>27</v>
      </c>
      <c r="AM22" s="8">
        <f t="shared" si="68"/>
        <v>0.11020408163265306</v>
      </c>
      <c r="AN22" s="13">
        <f>'[2]Oct-Dec''25'!AS22+'[2]Apr-Sep''25'!AS22</f>
        <v>28</v>
      </c>
      <c r="AO22" s="13">
        <f>'[2]Oct-Dec''25'!AT22+'[2]Apr-Sep''25'!AT22</f>
        <v>26</v>
      </c>
      <c r="AP22" s="8">
        <f t="shared" si="69"/>
        <v>0.9285714285714286</v>
      </c>
      <c r="AQ22" s="13">
        <f>'[2]Oct-Dec''25'!AV22+'[2]Apr-Sep''25'!AV22</f>
        <v>0</v>
      </c>
      <c r="AR22" s="13">
        <f>'[2]Oct-Dec''25'!AW22+'[2]Apr-Sep''25'!AW22</f>
        <v>0</v>
      </c>
      <c r="AS22" s="8" t="e">
        <f t="shared" si="70"/>
        <v>#DIV/0!</v>
      </c>
      <c r="AT22" s="13">
        <f>'[2]Oct-Dec''25'!AY22+'[2]Apr-Sep''25'!AY22</f>
        <v>161</v>
      </c>
      <c r="AU22" s="13">
        <f>'[2]Oct-Dec''25'!AZ22+'[2]Apr-Sep''25'!AZ22</f>
        <v>161</v>
      </c>
      <c r="AV22" s="8">
        <f t="shared" si="71"/>
        <v>1</v>
      </c>
      <c r="AW22" s="9">
        <f t="shared" si="72"/>
        <v>189</v>
      </c>
      <c r="AX22" s="9">
        <f t="shared" si="73"/>
        <v>187</v>
      </c>
      <c r="AY22" s="8">
        <f t="shared" si="74"/>
        <v>0.98941798941798942</v>
      </c>
      <c r="AZ22" s="13">
        <f>'[2]Oct-Dec''25'!BB22+'[2]Apr-Sep''25'!BB22</f>
        <v>134</v>
      </c>
      <c r="BA22" s="13">
        <f>'[2]Oct-Dec''25'!BC22+'[2]Apr-Sep''25'!BC22</f>
        <v>134</v>
      </c>
      <c r="BB22" s="14">
        <f t="shared" si="75"/>
        <v>1</v>
      </c>
      <c r="BC22" s="13">
        <f>'[2]Oct-Dec''25'!BE22+'[2]Apr-Sep''25'!BE22</f>
        <v>6</v>
      </c>
      <c r="BD22" s="13">
        <f>'[2]Oct-Dec''25'!BF22+'[2]Apr-Sep''25'!BF22</f>
        <v>23</v>
      </c>
      <c r="BE22" s="14">
        <f t="shared" si="76"/>
        <v>3.8333333333333335</v>
      </c>
      <c r="BF22" s="13">
        <f>'[2]Oct-Dec''25'!BH22+'[2]Apr-Sep''25'!BH22</f>
        <v>40</v>
      </c>
      <c r="BG22" s="13">
        <f>'[2]Oct-Dec''25'!BI22+'[2]Apr-Sep''25'!BI22</f>
        <v>40</v>
      </c>
      <c r="BH22" s="14">
        <f t="shared" si="77"/>
        <v>1</v>
      </c>
      <c r="BI22" s="13">
        <f>'[2]Oct-Dec''25'!BK22+'[2]Apr-Sep''25'!BK22</f>
        <v>48</v>
      </c>
      <c r="BJ22" s="13">
        <f>'[2]Oct-Dec''25'!BL22+'[2]Apr-Sep''25'!BL22</f>
        <v>43</v>
      </c>
      <c r="BK22" s="15">
        <f t="shared" si="78"/>
        <v>0.89583333333333337</v>
      </c>
      <c r="BL22" s="13">
        <f>'[2]Oct-Dec''25'!BN22+'[2]Apr-Sep''25'!BN22</f>
        <v>29</v>
      </c>
      <c r="BM22" s="13">
        <f>'[2]Oct-Dec''25'!BO22+'[2]Apr-Sep''25'!BO22</f>
        <v>24</v>
      </c>
      <c r="BN22" s="15">
        <f t="shared" si="79"/>
        <v>0.82758620689655171</v>
      </c>
      <c r="BO22" s="13">
        <f>'[2]Oct-Dec''25'!BQ22+'[2]Apr-Sep''25'!BQ22</f>
        <v>23</v>
      </c>
      <c r="BP22" s="13">
        <f>'[2]Oct-Dec''25'!BR22+'[2]Apr-Sep''25'!BR22</f>
        <v>18</v>
      </c>
      <c r="BQ22" s="15">
        <f t="shared" si="80"/>
        <v>0.78260869565217395</v>
      </c>
      <c r="BR22" s="13">
        <f>'[2]Oct-Dec''25'!BT22+'[2]Apr-Sep''25'!BT22</f>
        <v>29</v>
      </c>
      <c r="BS22" s="13">
        <f>'[2]Oct-Dec''25'!BU22+'[2]Apr-Sep''25'!BU22</f>
        <v>29</v>
      </c>
      <c r="BT22" s="14">
        <f t="shared" si="81"/>
        <v>1</v>
      </c>
      <c r="BU22" s="13">
        <f>'[2]Oct-Dec''25'!BW22+'[2]Apr-Sep''25'!BW22</f>
        <v>0</v>
      </c>
      <c r="BV22" s="13">
        <f>'[2]Oct-Dec''25'!BX22+'[2]Apr-Sep''25'!BX22</f>
        <v>0</v>
      </c>
      <c r="BW22" s="14">
        <f t="shared" si="82"/>
        <v>0</v>
      </c>
      <c r="BX22" s="13">
        <f>'[2]Oct-Dec''25'!BZ22+'[2]Apr-Sep''25'!BZ22</f>
        <v>341</v>
      </c>
      <c r="BY22" s="13">
        <f>'[2]Oct-Dec''25'!CA22+'[2]Apr-Sep''25'!CA22</f>
        <v>621</v>
      </c>
      <c r="BZ22" s="14">
        <f t="shared" si="83"/>
        <v>1.8211143695014662</v>
      </c>
      <c r="CA22" s="13">
        <f>'[2]Oct-Dec''25'!CC22+'[2]Apr-Sep''25'!CC22</f>
        <v>60</v>
      </c>
      <c r="CB22" s="13">
        <f>'[2]Oct-Dec''25'!CD22+'[2]Apr-Sep''25'!CD22</f>
        <v>60</v>
      </c>
      <c r="CC22" s="14">
        <f t="shared" si="84"/>
        <v>1</v>
      </c>
      <c r="CD22" s="13">
        <f>'[2]Oct-Dec''25'!CF22+'[2]Apr-Sep''25'!CF22</f>
        <v>0</v>
      </c>
      <c r="CE22" s="13">
        <f>'[2]Oct-Dec''25'!CG22+'[2]Apr-Sep''25'!CG22</f>
        <v>0</v>
      </c>
      <c r="CF22" s="14">
        <f t="shared" si="85"/>
        <v>0</v>
      </c>
    </row>
    <row r="23" spans="1:84" x14ac:dyDescent="0.25">
      <c r="A23" s="12">
        <f>'[2]Oct-Dec''25'!A23</f>
        <v>17</v>
      </c>
      <c r="B23" s="12" t="str">
        <f>'[2]Oct-Dec''25'!B23</f>
        <v>CHRI</v>
      </c>
      <c r="C23" s="1" t="str">
        <f>'[2]Oct-Dec''25'!C23</f>
        <v>Bihar</v>
      </c>
      <c r="D23" s="3" t="str">
        <f>'[2]Oct-Dec''25'!D23</f>
        <v>BNP+</v>
      </c>
      <c r="E23" s="1" t="str">
        <f>'[2]Oct-Dec''25'!E23</f>
        <v>GOPALGANJ</v>
      </c>
      <c r="F23" s="12" t="s">
        <v>85</v>
      </c>
      <c r="G23" s="13">
        <f>'[2]Oct-Dec''25'!H23+'[2]Apr-Sep''25'!H23</f>
        <v>290</v>
      </c>
      <c r="H23" s="13">
        <f>'[2]Oct-Dec''25'!I23+'[2]Apr-Sep''25'!I23</f>
        <v>206</v>
      </c>
      <c r="I23" s="7">
        <f t="shared" si="59"/>
        <v>0.71034482758620687</v>
      </c>
      <c r="J23" s="13">
        <f>'[2]Oct-Dec''25'!K23+'[2]Apr-Sep''25'!K23</f>
        <v>68</v>
      </c>
      <c r="K23" s="13">
        <f>'[2]Oct-Dec''25'!L23+'[2]Apr-Sep''25'!L23</f>
        <v>65</v>
      </c>
      <c r="L23" s="7">
        <f t="shared" si="86"/>
        <v>0.95588235294117652</v>
      </c>
      <c r="M23" s="13">
        <f>'[2]Oct-Dec''25'!N23+'[2]Apr-Sep''25'!N23</f>
        <v>263</v>
      </c>
      <c r="N23" s="13">
        <f>'[2]Oct-Dec''25'!O23+'[2]Apr-Sep''25'!O23</f>
        <v>261</v>
      </c>
      <c r="O23" s="8">
        <f t="shared" si="60"/>
        <v>0.99239543726235746</v>
      </c>
      <c r="P23" s="13">
        <f>'[2]Oct-Dec''25'!Q23+'[2]Apr-Sep''25'!Q23</f>
        <v>188</v>
      </c>
      <c r="Q23" s="13">
        <f>'[2]Oct-Dec''25'!R23+'[2]Apr-Sep''25'!R23</f>
        <v>165</v>
      </c>
      <c r="R23" s="8">
        <f t="shared" si="61"/>
        <v>0.87765957446808507</v>
      </c>
      <c r="S23" s="13">
        <f>'[2]Oct-Dec''25'!T23+'[2]Apr-Sep''25'!T23</f>
        <v>1524</v>
      </c>
      <c r="T23" s="13">
        <f>'[2]Oct-Dec''25'!U23+'[2]Apr-Sep''25'!U23</f>
        <v>1239</v>
      </c>
      <c r="U23" s="8">
        <f t="shared" si="62"/>
        <v>0.81299212598425197</v>
      </c>
      <c r="V23" s="13">
        <f>'[2]Oct-Dec''25'!W23+'[2]Apr-Sep''25'!W23</f>
        <v>400</v>
      </c>
      <c r="W23" s="13">
        <f>'[2]Oct-Dec''25'!Y23+'[2]Apr-Sep''25'!Y23</f>
        <v>206</v>
      </c>
      <c r="X23" s="8">
        <f t="shared" si="63"/>
        <v>0.51500000000000001</v>
      </c>
      <c r="Y23" s="13">
        <f>'[2]Oct-Dec''25'!AA23+'[2]Apr-Sep''25'!AA23</f>
        <v>85</v>
      </c>
      <c r="Z23" s="13">
        <f>'[2]Oct-Dec''25'!AB23+'[2]Apr-Sep''25'!AB23</f>
        <v>85</v>
      </c>
      <c r="AA23" s="8">
        <f t="shared" si="64"/>
        <v>1</v>
      </c>
      <c r="AB23" s="13">
        <f>'[2]Oct-Dec''25'!AD23+'[2]Apr-Sep''25'!AD23</f>
        <v>267</v>
      </c>
      <c r="AC23" s="13">
        <f>'[2]Oct-Dec''25'!AE23+'[2]Apr-Sep''25'!AE23</f>
        <v>9</v>
      </c>
      <c r="AD23" s="8">
        <f t="shared" si="65"/>
        <v>3.3707865168539325E-2</v>
      </c>
      <c r="AE23" s="13">
        <f>'[2]Oct-Dec''25'!AJ23+'[2]Apr-Sep''25'!AJ23</f>
        <v>1653</v>
      </c>
      <c r="AF23" s="13">
        <f>'[2]Oct-Dec''25'!AK23+'[2]Apr-Sep''25'!AK23</f>
        <v>1653</v>
      </c>
      <c r="AG23" s="8">
        <f t="shared" si="66"/>
        <v>1</v>
      </c>
      <c r="AH23" s="13">
        <f>'[2]Oct-Dec''25'!AM23+'[2]Apr-Sep''25'!AM23</f>
        <v>0</v>
      </c>
      <c r="AI23" s="13">
        <f>'[2]Oct-Dec''25'!AN23+'[2]Apr-Sep''25'!AN23</f>
        <v>0</v>
      </c>
      <c r="AJ23" s="8" t="e">
        <f t="shared" si="67"/>
        <v>#DIV/0!</v>
      </c>
      <c r="AK23" s="13">
        <f>'[2]Oct-Dec''25'!AP23+'[2]Apr-Sep''25'!AP23</f>
        <v>113</v>
      </c>
      <c r="AL23" s="13">
        <f>'[2]Oct-Dec''25'!AQ23+'[2]Apr-Sep''25'!AQ23</f>
        <v>92</v>
      </c>
      <c r="AM23" s="8">
        <f t="shared" si="68"/>
        <v>0.81415929203539827</v>
      </c>
      <c r="AN23" s="13">
        <f>'[2]Oct-Dec''25'!AS23+'[2]Apr-Sep''25'!AS23</f>
        <v>16</v>
      </c>
      <c r="AO23" s="13">
        <f>'[2]Oct-Dec''25'!AT23+'[2]Apr-Sep''25'!AT23</f>
        <v>16</v>
      </c>
      <c r="AP23" s="8">
        <f t="shared" si="69"/>
        <v>1</v>
      </c>
      <c r="AQ23" s="13">
        <f>'[2]Oct-Dec''25'!AV23+'[2]Apr-Sep''25'!AV23</f>
        <v>0</v>
      </c>
      <c r="AR23" s="13">
        <f>'[2]Oct-Dec''25'!AW23+'[2]Apr-Sep''25'!AW23</f>
        <v>0</v>
      </c>
      <c r="AS23" s="8" t="e">
        <f t="shared" si="70"/>
        <v>#DIV/0!</v>
      </c>
      <c r="AT23" s="13">
        <f>'[2]Oct-Dec''25'!AY23+'[2]Apr-Sep''25'!AY23</f>
        <v>75</v>
      </c>
      <c r="AU23" s="13">
        <f>'[2]Oct-Dec''25'!AZ23+'[2]Apr-Sep''25'!AZ23</f>
        <v>75</v>
      </c>
      <c r="AV23" s="8">
        <f t="shared" si="71"/>
        <v>1</v>
      </c>
      <c r="AW23" s="9">
        <f t="shared" si="72"/>
        <v>91</v>
      </c>
      <c r="AX23" s="9">
        <f t="shared" si="73"/>
        <v>91</v>
      </c>
      <c r="AY23" s="8">
        <f t="shared" si="74"/>
        <v>1</v>
      </c>
      <c r="AZ23" s="13">
        <f>'[2]Oct-Dec''25'!BB23+'[2]Apr-Sep''25'!BB23</f>
        <v>45</v>
      </c>
      <c r="BA23" s="13">
        <f>'[2]Oct-Dec''25'!BC23+'[2]Apr-Sep''25'!BC23</f>
        <v>36</v>
      </c>
      <c r="BB23" s="14">
        <f t="shared" si="75"/>
        <v>0.8</v>
      </c>
      <c r="BC23" s="13">
        <f>'[2]Oct-Dec''25'!BE23+'[2]Apr-Sep''25'!BE23</f>
        <v>23</v>
      </c>
      <c r="BD23" s="13">
        <f>'[2]Oct-Dec''25'!BF23+'[2]Apr-Sep''25'!BF23</f>
        <v>27</v>
      </c>
      <c r="BE23" s="14">
        <f t="shared" si="76"/>
        <v>1.173913043478261</v>
      </c>
      <c r="BF23" s="13">
        <f>'[2]Oct-Dec''25'!BH23+'[2]Apr-Sep''25'!BH23</f>
        <v>33</v>
      </c>
      <c r="BG23" s="13">
        <f>'[2]Oct-Dec''25'!BI23+'[2]Apr-Sep''25'!BI23</f>
        <v>33</v>
      </c>
      <c r="BH23" s="14">
        <f t="shared" si="77"/>
        <v>1</v>
      </c>
      <c r="BI23" s="13">
        <f>'[2]Oct-Dec''25'!BK23+'[2]Apr-Sep''25'!BK23</f>
        <v>41</v>
      </c>
      <c r="BJ23" s="13">
        <f>'[2]Oct-Dec''25'!BL23+'[2]Apr-Sep''25'!BL23</f>
        <v>39</v>
      </c>
      <c r="BK23" s="15">
        <f t="shared" si="78"/>
        <v>0.95121951219512191</v>
      </c>
      <c r="BL23" s="13">
        <f>'[2]Oct-Dec''25'!BN23+'[2]Apr-Sep''25'!BN23</f>
        <v>35</v>
      </c>
      <c r="BM23" s="13">
        <f>'[2]Oct-Dec''25'!BO23+'[2]Apr-Sep''25'!BO23</f>
        <v>24</v>
      </c>
      <c r="BN23" s="15">
        <f t="shared" si="79"/>
        <v>0.68571428571428572</v>
      </c>
      <c r="BO23" s="13">
        <f>'[2]Oct-Dec''25'!BQ23+'[2]Apr-Sep''25'!BQ23</f>
        <v>24</v>
      </c>
      <c r="BP23" s="13">
        <f>'[2]Oct-Dec''25'!BR23+'[2]Apr-Sep''25'!BR23</f>
        <v>20</v>
      </c>
      <c r="BQ23" s="15">
        <f t="shared" si="80"/>
        <v>0.83333333333333337</v>
      </c>
      <c r="BR23" s="13">
        <f>'[2]Oct-Dec''25'!BT23+'[2]Apr-Sep''25'!BT23</f>
        <v>26</v>
      </c>
      <c r="BS23" s="13">
        <f>'[2]Oct-Dec''25'!BU23+'[2]Apr-Sep''25'!BU23</f>
        <v>26</v>
      </c>
      <c r="BT23" s="14">
        <f t="shared" si="81"/>
        <v>1</v>
      </c>
      <c r="BU23" s="13">
        <f>'[2]Oct-Dec''25'!BW23+'[2]Apr-Sep''25'!BW23</f>
        <v>2</v>
      </c>
      <c r="BV23" s="13">
        <f>'[2]Oct-Dec''25'!BX23+'[2]Apr-Sep''25'!BX23</f>
        <v>2</v>
      </c>
      <c r="BW23" s="14">
        <f t="shared" si="82"/>
        <v>1</v>
      </c>
      <c r="BX23" s="13">
        <f>'[2]Oct-Dec''25'!BZ23+'[2]Apr-Sep''25'!BZ23</f>
        <v>206</v>
      </c>
      <c r="BY23" s="13">
        <f>'[2]Oct-Dec''25'!CA23+'[2]Apr-Sep''25'!CA23</f>
        <v>266</v>
      </c>
      <c r="BZ23" s="14">
        <f t="shared" si="83"/>
        <v>1.2912621359223302</v>
      </c>
      <c r="CA23" s="13">
        <f>'[2]Oct-Dec''25'!CC23+'[2]Apr-Sep''25'!CC23</f>
        <v>61</v>
      </c>
      <c r="CB23" s="13">
        <f>'[2]Oct-Dec''25'!CD23+'[2]Apr-Sep''25'!CD23</f>
        <v>56</v>
      </c>
      <c r="CC23" s="14">
        <f t="shared" si="84"/>
        <v>0.91803278688524592</v>
      </c>
      <c r="CD23" s="13">
        <f>'[2]Oct-Dec''25'!CF23+'[2]Apr-Sep''25'!CF23</f>
        <v>0</v>
      </c>
      <c r="CE23" s="13">
        <f>'[2]Oct-Dec''25'!CG23+'[2]Apr-Sep''25'!CG23</f>
        <v>0</v>
      </c>
      <c r="CF23" s="14">
        <f t="shared" si="85"/>
        <v>0</v>
      </c>
    </row>
    <row r="24" spans="1:84" x14ac:dyDescent="0.25">
      <c r="A24" s="12">
        <f>'[2]Oct-Dec''25'!A24</f>
        <v>18</v>
      </c>
      <c r="B24" s="12" t="str">
        <f>'[2]Oct-Dec''25'!B24</f>
        <v>CHRI</v>
      </c>
      <c r="C24" s="1" t="str">
        <f>'[2]Oct-Dec''25'!C24</f>
        <v>Bihar</v>
      </c>
      <c r="D24" s="3" t="str">
        <f>'[2]Oct-Dec''25'!D24</f>
        <v xml:space="preserve">NIRDESH </v>
      </c>
      <c r="E24" s="1" t="str">
        <f>'[2]Oct-Dec''25'!E24</f>
        <v>SAMASTIPUR</v>
      </c>
      <c r="F24" s="12" t="s">
        <v>85</v>
      </c>
      <c r="G24" s="13">
        <f>'[2]Oct-Dec''25'!H24+'[2]Apr-Sep''25'!H24</f>
        <v>295</v>
      </c>
      <c r="H24" s="13">
        <f>'[2]Oct-Dec''25'!I24+'[2]Apr-Sep''25'!I24</f>
        <v>285</v>
      </c>
      <c r="I24" s="7">
        <f t="shared" si="59"/>
        <v>0.96610169491525422</v>
      </c>
      <c r="J24" s="13">
        <f>'[2]Oct-Dec''25'!K24+'[2]Apr-Sep''25'!K24</f>
        <v>190</v>
      </c>
      <c r="K24" s="13">
        <f>'[2]Oct-Dec''25'!L24+'[2]Apr-Sep''25'!L24</f>
        <v>155</v>
      </c>
      <c r="L24" s="7">
        <f t="shared" si="86"/>
        <v>0.81578947368421051</v>
      </c>
      <c r="M24" s="13">
        <f>'[2]Oct-Dec''25'!N24+'[2]Apr-Sep''25'!N24</f>
        <v>266</v>
      </c>
      <c r="N24" s="13">
        <f>'[2]Oct-Dec''25'!O24+'[2]Apr-Sep''25'!O24</f>
        <v>266</v>
      </c>
      <c r="O24" s="8">
        <f t="shared" si="60"/>
        <v>1</v>
      </c>
      <c r="P24" s="13">
        <f>'[2]Oct-Dec''25'!Q24+'[2]Apr-Sep''25'!Q24</f>
        <v>224</v>
      </c>
      <c r="Q24" s="13">
        <f>'[2]Oct-Dec''25'!R24+'[2]Apr-Sep''25'!R24</f>
        <v>208</v>
      </c>
      <c r="R24" s="8">
        <f t="shared" si="61"/>
        <v>0.9285714285714286</v>
      </c>
      <c r="S24" s="13">
        <f>'[2]Oct-Dec''25'!T24+'[2]Apr-Sep''25'!T24</f>
        <v>955</v>
      </c>
      <c r="T24" s="13">
        <f>'[2]Oct-Dec''25'!U24+'[2]Apr-Sep''25'!U24</f>
        <v>745</v>
      </c>
      <c r="U24" s="8">
        <f t="shared" si="62"/>
        <v>0.78010471204188481</v>
      </c>
      <c r="V24" s="13">
        <f>'[2]Oct-Dec''25'!W24+'[2]Apr-Sep''25'!W24</f>
        <v>307</v>
      </c>
      <c r="W24" s="13">
        <f>'[2]Oct-Dec''25'!Y24+'[2]Apr-Sep''25'!Y24</f>
        <v>236</v>
      </c>
      <c r="X24" s="8">
        <f t="shared" si="63"/>
        <v>0.76872964169381108</v>
      </c>
      <c r="Y24" s="13">
        <f>'[2]Oct-Dec''25'!AA24+'[2]Apr-Sep''25'!AA24</f>
        <v>2</v>
      </c>
      <c r="Z24" s="13">
        <f>'[2]Oct-Dec''25'!AB24+'[2]Apr-Sep''25'!AB24</f>
        <v>2</v>
      </c>
      <c r="AA24" s="8">
        <f t="shared" si="64"/>
        <v>1</v>
      </c>
      <c r="AB24" s="13">
        <f>'[2]Oct-Dec''25'!AD24+'[2]Apr-Sep''25'!AD24</f>
        <v>1</v>
      </c>
      <c r="AC24" s="13">
        <f>'[2]Oct-Dec''25'!AE24+'[2]Apr-Sep''25'!AE24</f>
        <v>1</v>
      </c>
      <c r="AD24" s="8">
        <f t="shared" si="65"/>
        <v>1</v>
      </c>
      <c r="AE24" s="13">
        <f>'[2]Oct-Dec''25'!AJ24+'[2]Apr-Sep''25'!AJ24</f>
        <v>2248</v>
      </c>
      <c r="AF24" s="13">
        <f>'[2]Oct-Dec''25'!AK24+'[2]Apr-Sep''25'!AK24</f>
        <v>2237</v>
      </c>
      <c r="AG24" s="8">
        <f t="shared" si="66"/>
        <v>0.99510676156583633</v>
      </c>
      <c r="AH24" s="13">
        <f>'[2]Oct-Dec''25'!AM24+'[2]Apr-Sep''25'!AM24</f>
        <v>0</v>
      </c>
      <c r="AI24" s="13">
        <f>'[2]Oct-Dec''25'!AN24+'[2]Apr-Sep''25'!AN24</f>
        <v>0</v>
      </c>
      <c r="AJ24" s="8" t="e">
        <f t="shared" si="67"/>
        <v>#DIV/0!</v>
      </c>
      <c r="AK24" s="13">
        <f>'[2]Oct-Dec''25'!AP24+'[2]Apr-Sep''25'!AP24</f>
        <v>67</v>
      </c>
      <c r="AL24" s="13">
        <f>'[2]Oct-Dec''25'!AQ24+'[2]Apr-Sep''25'!AQ24</f>
        <v>48</v>
      </c>
      <c r="AM24" s="8">
        <f t="shared" si="68"/>
        <v>0.71641791044776115</v>
      </c>
      <c r="AN24" s="13">
        <f>'[2]Oct-Dec''25'!AS24+'[2]Apr-Sep''25'!AS24</f>
        <v>66</v>
      </c>
      <c r="AO24" s="13">
        <f>'[2]Oct-Dec''25'!AT24+'[2]Apr-Sep''25'!AT24</f>
        <v>47</v>
      </c>
      <c r="AP24" s="8">
        <f t="shared" si="69"/>
        <v>0.71212121212121215</v>
      </c>
      <c r="AQ24" s="13">
        <f>'[2]Oct-Dec''25'!AV24+'[2]Apr-Sep''25'!AV24</f>
        <v>0</v>
      </c>
      <c r="AR24" s="13">
        <f>'[2]Oct-Dec''25'!AW24+'[2]Apr-Sep''25'!AW24</f>
        <v>0</v>
      </c>
      <c r="AS24" s="8" t="e">
        <f t="shared" si="70"/>
        <v>#DIV/0!</v>
      </c>
      <c r="AT24" s="13">
        <f>'[2]Oct-Dec''25'!AY24+'[2]Apr-Sep''25'!AY24</f>
        <v>102</v>
      </c>
      <c r="AU24" s="13">
        <f>'[2]Oct-Dec''25'!AZ24+'[2]Apr-Sep''25'!AZ24</f>
        <v>82</v>
      </c>
      <c r="AV24" s="8">
        <f t="shared" si="71"/>
        <v>0.80392156862745101</v>
      </c>
      <c r="AW24" s="9">
        <f t="shared" si="72"/>
        <v>168</v>
      </c>
      <c r="AX24" s="9">
        <f t="shared" si="73"/>
        <v>129</v>
      </c>
      <c r="AY24" s="8">
        <f t="shared" si="74"/>
        <v>0.7678571428571429</v>
      </c>
      <c r="AZ24" s="13">
        <f>'[2]Oct-Dec''25'!BB24+'[2]Apr-Sep''25'!BB24</f>
        <v>49</v>
      </c>
      <c r="BA24" s="13">
        <f>'[2]Oct-Dec''25'!BC24+'[2]Apr-Sep''25'!BC24</f>
        <v>49</v>
      </c>
      <c r="BB24" s="14">
        <f t="shared" si="75"/>
        <v>1</v>
      </c>
      <c r="BC24" s="13">
        <f>'[2]Oct-Dec''25'!BE24+'[2]Apr-Sep''25'!BE24</f>
        <v>14</v>
      </c>
      <c r="BD24" s="13">
        <f>'[2]Oct-Dec''25'!BF24+'[2]Apr-Sep''25'!BF24</f>
        <v>17</v>
      </c>
      <c r="BE24" s="14">
        <f t="shared" si="76"/>
        <v>1.2142857142857142</v>
      </c>
      <c r="BF24" s="13">
        <f>'[2]Oct-Dec''25'!BH24+'[2]Apr-Sep''25'!BH24</f>
        <v>19</v>
      </c>
      <c r="BG24" s="13">
        <f>'[2]Oct-Dec''25'!BI24+'[2]Apr-Sep''25'!BI24</f>
        <v>18</v>
      </c>
      <c r="BH24" s="14">
        <f t="shared" si="77"/>
        <v>0.94736842105263153</v>
      </c>
      <c r="BI24" s="13">
        <f>'[2]Oct-Dec''25'!BK24+'[2]Apr-Sep''25'!BK24</f>
        <v>22</v>
      </c>
      <c r="BJ24" s="13">
        <f>'[2]Oct-Dec''25'!BL24+'[2]Apr-Sep''25'!BL24</f>
        <v>19</v>
      </c>
      <c r="BK24" s="15">
        <f t="shared" si="78"/>
        <v>0.86363636363636365</v>
      </c>
      <c r="BL24" s="13">
        <f>'[2]Oct-Dec''25'!BN24+'[2]Apr-Sep''25'!BN24</f>
        <v>14</v>
      </c>
      <c r="BM24" s="13">
        <f>'[2]Oct-Dec''25'!BO24+'[2]Apr-Sep''25'!BO24</f>
        <v>11</v>
      </c>
      <c r="BN24" s="15">
        <f t="shared" si="79"/>
        <v>0.7857142857142857</v>
      </c>
      <c r="BO24" s="13">
        <f>'[2]Oct-Dec''25'!BQ24+'[2]Apr-Sep''25'!BQ24</f>
        <v>16</v>
      </c>
      <c r="BP24" s="13">
        <f>'[2]Oct-Dec''25'!BR24+'[2]Apr-Sep''25'!BR24</f>
        <v>14</v>
      </c>
      <c r="BQ24" s="15">
        <f t="shared" si="80"/>
        <v>0.875</v>
      </c>
      <c r="BR24" s="13">
        <f>'[2]Oct-Dec''25'!BT24+'[2]Apr-Sep''25'!BT24</f>
        <v>25</v>
      </c>
      <c r="BS24" s="13">
        <f>'[2]Oct-Dec''25'!BU24+'[2]Apr-Sep''25'!BU24</f>
        <v>24</v>
      </c>
      <c r="BT24" s="14">
        <f t="shared" si="81"/>
        <v>0.96</v>
      </c>
      <c r="BU24" s="13">
        <f>'[2]Oct-Dec''25'!BW24+'[2]Apr-Sep''25'!BW24</f>
        <v>1</v>
      </c>
      <c r="BV24" s="13">
        <f>'[2]Oct-Dec''25'!BX24+'[2]Apr-Sep''25'!BX24</f>
        <v>0</v>
      </c>
      <c r="BW24" s="14">
        <f t="shared" si="82"/>
        <v>0</v>
      </c>
      <c r="BX24" s="13">
        <f>'[2]Oct-Dec''25'!BZ24+'[2]Apr-Sep''25'!BZ24</f>
        <v>285</v>
      </c>
      <c r="BY24" s="13">
        <f>'[2]Oct-Dec''25'!CA24+'[2]Apr-Sep''25'!CA24</f>
        <v>273</v>
      </c>
      <c r="BZ24" s="14">
        <f t="shared" si="83"/>
        <v>0.95789473684210524</v>
      </c>
      <c r="CA24" s="13">
        <f>'[2]Oct-Dec''25'!CC24+'[2]Apr-Sep''25'!CC24</f>
        <v>127</v>
      </c>
      <c r="CB24" s="13">
        <f>'[2]Oct-Dec''25'!CD24+'[2]Apr-Sep''25'!CD24</f>
        <v>133</v>
      </c>
      <c r="CC24" s="14">
        <f t="shared" si="84"/>
        <v>1.0472440944881889</v>
      </c>
      <c r="CD24" s="13">
        <f>'[2]Oct-Dec''25'!CF24+'[2]Apr-Sep''25'!CF24</f>
        <v>2</v>
      </c>
      <c r="CE24" s="13">
        <f>'[2]Oct-Dec''25'!CG24+'[2]Apr-Sep''25'!CG24</f>
        <v>2</v>
      </c>
      <c r="CF24" s="14">
        <f t="shared" si="85"/>
        <v>1</v>
      </c>
    </row>
    <row r="25" spans="1:84" x14ac:dyDescent="0.25">
      <c r="A25" s="12">
        <f>'[2]Oct-Dec''25'!A25</f>
        <v>19</v>
      </c>
      <c r="B25" s="12" t="str">
        <f>'[2]Oct-Dec''25'!B25</f>
        <v>CHRI</v>
      </c>
      <c r="C25" s="1" t="str">
        <f>'[2]Oct-Dec''25'!C25</f>
        <v>Bihar</v>
      </c>
      <c r="D25" s="3" t="str">
        <f>'[2]Oct-Dec''25'!D25</f>
        <v>BNP+</v>
      </c>
      <c r="E25" s="1" t="str">
        <f>'[2]Oct-Dec''25'!E25</f>
        <v>BHOJPUR</v>
      </c>
      <c r="F25" s="12" t="s">
        <v>85</v>
      </c>
      <c r="G25" s="13">
        <f>'[2]Oct-Dec''25'!H25+'[2]Apr-Sep''25'!H25</f>
        <v>876</v>
      </c>
      <c r="H25" s="13">
        <f>'[2]Oct-Dec''25'!I25+'[2]Apr-Sep''25'!I25</f>
        <v>626</v>
      </c>
      <c r="I25" s="7">
        <f t="shared" si="59"/>
        <v>0.71461187214611877</v>
      </c>
      <c r="J25" s="13">
        <f>'[2]Oct-Dec''25'!K25+'[2]Apr-Sep''25'!K25</f>
        <v>608</v>
      </c>
      <c r="K25" s="13">
        <f>'[2]Oct-Dec''25'!L25+'[2]Apr-Sep''25'!L25</f>
        <v>430</v>
      </c>
      <c r="L25" s="7">
        <f t="shared" si="86"/>
        <v>0.70723684210526316</v>
      </c>
      <c r="M25" s="13">
        <f>'[2]Oct-Dec''25'!N25+'[2]Apr-Sep''25'!N25</f>
        <v>752</v>
      </c>
      <c r="N25" s="13">
        <f>'[2]Oct-Dec''25'!O25+'[2]Apr-Sep''25'!O25</f>
        <v>741</v>
      </c>
      <c r="O25" s="8">
        <f t="shared" si="60"/>
        <v>0.9853723404255319</v>
      </c>
      <c r="P25" s="13">
        <f>'[2]Oct-Dec''25'!Q25+'[2]Apr-Sep''25'!Q25</f>
        <v>557</v>
      </c>
      <c r="Q25" s="13">
        <f>'[2]Oct-Dec''25'!R25+'[2]Apr-Sep''25'!R25</f>
        <v>501</v>
      </c>
      <c r="R25" s="8">
        <f t="shared" si="61"/>
        <v>0.89946140035906641</v>
      </c>
      <c r="S25" s="13">
        <f>'[2]Oct-Dec''25'!T25+'[2]Apr-Sep''25'!T25</f>
        <v>848</v>
      </c>
      <c r="T25" s="13">
        <f>'[2]Oct-Dec''25'!U25+'[2]Apr-Sep''25'!U25</f>
        <v>630</v>
      </c>
      <c r="U25" s="8">
        <f t="shared" si="62"/>
        <v>0.74292452830188682</v>
      </c>
      <c r="V25" s="13">
        <f>'[2]Oct-Dec''25'!W25+'[2]Apr-Sep''25'!W25</f>
        <v>1348</v>
      </c>
      <c r="W25" s="13">
        <f>'[2]Oct-Dec''25'!Y25+'[2]Apr-Sep''25'!Y25</f>
        <v>815</v>
      </c>
      <c r="X25" s="8">
        <f t="shared" si="63"/>
        <v>0.60459940652818989</v>
      </c>
      <c r="Y25" s="13">
        <f>'[2]Oct-Dec''25'!AA25+'[2]Apr-Sep''25'!AA25</f>
        <v>26</v>
      </c>
      <c r="Z25" s="13">
        <f>'[2]Oct-Dec''25'!AB25+'[2]Apr-Sep''25'!AB25</f>
        <v>26</v>
      </c>
      <c r="AA25" s="8">
        <f t="shared" si="64"/>
        <v>1</v>
      </c>
      <c r="AB25" s="13">
        <f>'[2]Oct-Dec''25'!AD25+'[2]Apr-Sep''25'!AD25</f>
        <v>5</v>
      </c>
      <c r="AC25" s="13">
        <f>'[2]Oct-Dec''25'!AE25+'[2]Apr-Sep''25'!AE25</f>
        <v>2</v>
      </c>
      <c r="AD25" s="8">
        <f t="shared" si="65"/>
        <v>0.4</v>
      </c>
      <c r="AE25" s="13">
        <f>'[2]Oct-Dec''25'!AJ25+'[2]Apr-Sep''25'!AJ25</f>
        <v>3280</v>
      </c>
      <c r="AF25" s="13">
        <f>'[2]Oct-Dec''25'!AK25+'[2]Apr-Sep''25'!AK25</f>
        <v>3124</v>
      </c>
      <c r="AG25" s="8">
        <f t="shared" si="66"/>
        <v>0.95243902439024386</v>
      </c>
      <c r="AH25" s="13">
        <f>'[2]Oct-Dec''25'!AM25+'[2]Apr-Sep''25'!AM25</f>
        <v>0</v>
      </c>
      <c r="AI25" s="13">
        <f>'[2]Oct-Dec''25'!AN25+'[2]Apr-Sep''25'!AN25</f>
        <v>0</v>
      </c>
      <c r="AJ25" s="8" t="e">
        <f t="shared" si="67"/>
        <v>#DIV/0!</v>
      </c>
      <c r="AK25" s="13">
        <f>'[2]Oct-Dec''25'!AP25+'[2]Apr-Sep''25'!AP25</f>
        <v>209</v>
      </c>
      <c r="AL25" s="13">
        <f>'[2]Oct-Dec''25'!AQ25+'[2]Apr-Sep''25'!AQ25</f>
        <v>144</v>
      </c>
      <c r="AM25" s="8">
        <f t="shared" si="68"/>
        <v>0.68899521531100483</v>
      </c>
      <c r="AN25" s="13">
        <f>'[2]Oct-Dec''25'!AS25+'[2]Apr-Sep''25'!AS25</f>
        <v>240</v>
      </c>
      <c r="AO25" s="13">
        <f>'[2]Oct-Dec''25'!AT25+'[2]Apr-Sep''25'!AT25</f>
        <v>193</v>
      </c>
      <c r="AP25" s="8">
        <f t="shared" si="69"/>
        <v>0.8041666666666667</v>
      </c>
      <c r="AQ25" s="13">
        <f>'[2]Oct-Dec''25'!AV25+'[2]Apr-Sep''25'!AV25</f>
        <v>0</v>
      </c>
      <c r="AR25" s="13">
        <f>'[2]Oct-Dec''25'!AW25+'[2]Apr-Sep''25'!AW25</f>
        <v>0</v>
      </c>
      <c r="AS25" s="8" t="e">
        <f t="shared" si="70"/>
        <v>#DIV/0!</v>
      </c>
      <c r="AT25" s="13">
        <f>'[2]Oct-Dec''25'!AY25+'[2]Apr-Sep''25'!AY25</f>
        <v>338</v>
      </c>
      <c r="AU25" s="13">
        <f>'[2]Oct-Dec''25'!AZ25+'[2]Apr-Sep''25'!AZ25</f>
        <v>294</v>
      </c>
      <c r="AV25" s="8">
        <f t="shared" si="71"/>
        <v>0.86982248520710059</v>
      </c>
      <c r="AW25" s="9">
        <f t="shared" si="72"/>
        <v>578</v>
      </c>
      <c r="AX25" s="9">
        <f t="shared" si="73"/>
        <v>487</v>
      </c>
      <c r="AY25" s="8">
        <f t="shared" si="74"/>
        <v>0.84256055363321802</v>
      </c>
      <c r="AZ25" s="13">
        <f>'[2]Oct-Dec''25'!BB25+'[2]Apr-Sep''25'!BB25</f>
        <v>279</v>
      </c>
      <c r="BA25" s="13">
        <f>'[2]Oct-Dec''25'!BC25+'[2]Apr-Sep''25'!BC25</f>
        <v>228</v>
      </c>
      <c r="BB25" s="14">
        <f t="shared" si="75"/>
        <v>0.81720430107526887</v>
      </c>
      <c r="BC25" s="13">
        <f>'[2]Oct-Dec''25'!BE25+'[2]Apr-Sep''25'!BE25</f>
        <v>31</v>
      </c>
      <c r="BD25" s="13">
        <f>'[2]Oct-Dec''25'!BF25+'[2]Apr-Sep''25'!BF25</f>
        <v>25</v>
      </c>
      <c r="BE25" s="14">
        <f t="shared" si="76"/>
        <v>0.80645161290322576</v>
      </c>
      <c r="BF25" s="13">
        <f>'[2]Oct-Dec''25'!BH25+'[2]Apr-Sep''25'!BH25</f>
        <v>55</v>
      </c>
      <c r="BG25" s="13">
        <f>'[2]Oct-Dec''25'!BI25+'[2]Apr-Sep''25'!BI25</f>
        <v>54</v>
      </c>
      <c r="BH25" s="14">
        <f t="shared" si="77"/>
        <v>0.98181818181818181</v>
      </c>
      <c r="BI25" s="13">
        <f>'[2]Oct-Dec''25'!BK25+'[2]Apr-Sep''25'!BK25</f>
        <v>86</v>
      </c>
      <c r="BJ25" s="13">
        <f>'[2]Oct-Dec''25'!BL25+'[2]Apr-Sep''25'!BL25</f>
        <v>85</v>
      </c>
      <c r="BK25" s="15">
        <f t="shared" si="78"/>
        <v>0.98837209302325579</v>
      </c>
      <c r="BL25" s="13">
        <f>'[2]Oct-Dec''25'!BN25+'[2]Apr-Sep''25'!BN25</f>
        <v>58</v>
      </c>
      <c r="BM25" s="13">
        <f>'[2]Oct-Dec''25'!BO25+'[2]Apr-Sep''25'!BO25</f>
        <v>51</v>
      </c>
      <c r="BN25" s="15">
        <f t="shared" si="79"/>
        <v>0.87931034482758619</v>
      </c>
      <c r="BO25" s="13">
        <f>'[2]Oct-Dec''25'!BQ25+'[2]Apr-Sep''25'!BQ25</f>
        <v>49</v>
      </c>
      <c r="BP25" s="13">
        <f>'[2]Oct-Dec''25'!BR25+'[2]Apr-Sep''25'!BR25</f>
        <v>38</v>
      </c>
      <c r="BQ25" s="15">
        <f t="shared" si="80"/>
        <v>0.77551020408163263</v>
      </c>
      <c r="BR25" s="13">
        <f>'[2]Oct-Dec''25'!BT25+'[2]Apr-Sep''25'!BT25</f>
        <v>49</v>
      </c>
      <c r="BS25" s="13">
        <f>'[2]Oct-Dec''25'!BU25+'[2]Apr-Sep''25'!BU25</f>
        <v>36</v>
      </c>
      <c r="BT25" s="14">
        <f t="shared" si="81"/>
        <v>0.73469387755102045</v>
      </c>
      <c r="BU25" s="13">
        <f>'[2]Oct-Dec''25'!BW25+'[2]Apr-Sep''25'!BW25</f>
        <v>0</v>
      </c>
      <c r="BV25" s="13">
        <f>'[2]Oct-Dec''25'!BX25+'[2]Apr-Sep''25'!BX25</f>
        <v>0</v>
      </c>
      <c r="BW25" s="14">
        <f t="shared" si="82"/>
        <v>0</v>
      </c>
      <c r="BX25" s="13">
        <f>'[2]Oct-Dec''25'!BZ25+'[2]Apr-Sep''25'!BZ25</f>
        <v>626</v>
      </c>
      <c r="BY25" s="13">
        <f>'[2]Oct-Dec''25'!CA25+'[2]Apr-Sep''25'!CA25</f>
        <v>861</v>
      </c>
      <c r="BZ25" s="14">
        <f t="shared" si="83"/>
        <v>1.3753993610223643</v>
      </c>
      <c r="CA25" s="13">
        <f>'[2]Oct-Dec''25'!CC25+'[2]Apr-Sep''25'!CC25</f>
        <v>46</v>
      </c>
      <c r="CB25" s="13">
        <f>'[2]Oct-Dec''25'!CD25+'[2]Apr-Sep''25'!CD25</f>
        <v>46</v>
      </c>
      <c r="CC25" s="14">
        <f t="shared" si="84"/>
        <v>1</v>
      </c>
      <c r="CD25" s="13">
        <f>'[2]Oct-Dec''25'!CF25+'[2]Apr-Sep''25'!CF25</f>
        <v>4</v>
      </c>
      <c r="CE25" s="13">
        <f>'[2]Oct-Dec''25'!CG25+'[2]Apr-Sep''25'!CG25</f>
        <v>4</v>
      </c>
      <c r="CF25" s="14">
        <f t="shared" si="85"/>
        <v>1</v>
      </c>
    </row>
    <row r="26" spans="1:84" ht="24" x14ac:dyDescent="0.25">
      <c r="A26" s="12">
        <f>'[2]Oct-Dec''25'!A26</f>
        <v>20</v>
      </c>
      <c r="B26" s="12" t="str">
        <f>'[2]Oct-Dec''25'!B26</f>
        <v>YRG Care</v>
      </c>
      <c r="C26" s="1" t="str">
        <f>'[2]Oct-Dec''25'!C26</f>
        <v>Delhi</v>
      </c>
      <c r="D26" s="3" t="str">
        <f>'[2]Oct-Dec''25'!D26</f>
        <v>DEVELOPMENT CONSORTIUM</v>
      </c>
      <c r="E26" s="1" t="str">
        <f>'[2]Oct-Dec''25'!E26</f>
        <v>NORTH WEST</v>
      </c>
      <c r="F26" s="12" t="s">
        <v>85</v>
      </c>
      <c r="G26" s="13">
        <f>'[2]Oct-Dec''25'!H26+'[2]Apr-Sep''25'!H26</f>
        <v>661</v>
      </c>
      <c r="H26" s="13">
        <f>'[2]Oct-Dec''25'!I26+'[2]Apr-Sep''25'!I26</f>
        <v>538</v>
      </c>
      <c r="I26" s="7">
        <f t="shared" si="59"/>
        <v>0.81391830559757938</v>
      </c>
      <c r="J26" s="13">
        <f>'[2]Oct-Dec''25'!K26+'[2]Apr-Sep''25'!K26</f>
        <v>0</v>
      </c>
      <c r="K26" s="13">
        <f>'[2]Oct-Dec''25'!L26+'[2]Apr-Sep''25'!L26</f>
        <v>0</v>
      </c>
      <c r="L26" s="7"/>
      <c r="M26" s="13">
        <f>'[2]Oct-Dec''25'!N26+'[2]Apr-Sep''25'!N26</f>
        <v>660</v>
      </c>
      <c r="N26" s="13">
        <f>'[2]Oct-Dec''25'!O26+'[2]Apr-Sep''25'!O26</f>
        <v>660</v>
      </c>
      <c r="O26" s="8">
        <f t="shared" si="60"/>
        <v>1</v>
      </c>
      <c r="P26" s="13">
        <f>'[2]Oct-Dec''25'!Q26+'[2]Apr-Sep''25'!Q26</f>
        <v>632</v>
      </c>
      <c r="Q26" s="13">
        <f>'[2]Oct-Dec''25'!R26+'[2]Apr-Sep''25'!R26</f>
        <v>513</v>
      </c>
      <c r="R26" s="8">
        <f t="shared" si="61"/>
        <v>0.81170886075949367</v>
      </c>
      <c r="S26" s="13">
        <f>'[2]Oct-Dec''25'!T26+'[2]Apr-Sep''25'!T26</f>
        <v>3129</v>
      </c>
      <c r="T26" s="13">
        <f>'[2]Oct-Dec''25'!U26+'[2]Apr-Sep''25'!U26</f>
        <v>2524</v>
      </c>
      <c r="U26" s="8">
        <f t="shared" si="62"/>
        <v>0.80664749121124957</v>
      </c>
      <c r="V26" s="13">
        <f>'[2]Oct-Dec''25'!W26+'[2]Apr-Sep''25'!W26</f>
        <v>1819</v>
      </c>
      <c r="W26" s="13">
        <f>'[2]Oct-Dec''25'!Y26+'[2]Apr-Sep''25'!Y26</f>
        <v>1405</v>
      </c>
      <c r="X26" s="8">
        <f t="shared" si="63"/>
        <v>0.77240241891148986</v>
      </c>
      <c r="Y26" s="13">
        <f>'[2]Oct-Dec''25'!AA26+'[2]Apr-Sep''25'!AA26</f>
        <v>302</v>
      </c>
      <c r="Z26" s="13">
        <f>'[2]Oct-Dec''25'!AB26+'[2]Apr-Sep''25'!AB26</f>
        <v>301</v>
      </c>
      <c r="AA26" s="8">
        <f t="shared" si="64"/>
        <v>0.99668874172185429</v>
      </c>
      <c r="AB26" s="13">
        <f>'[2]Oct-Dec''25'!AD26+'[2]Apr-Sep''25'!AD26</f>
        <v>211</v>
      </c>
      <c r="AC26" s="13">
        <f>'[2]Oct-Dec''25'!AE26+'[2]Apr-Sep''25'!AE26</f>
        <v>62</v>
      </c>
      <c r="AD26" s="8">
        <f t="shared" si="65"/>
        <v>0.29383886255924169</v>
      </c>
      <c r="AE26" s="13">
        <f>'[2]Oct-Dec''25'!AJ26+'[2]Apr-Sep''25'!AJ26</f>
        <v>551</v>
      </c>
      <c r="AF26" s="13">
        <f>'[2]Oct-Dec''25'!AK26+'[2]Apr-Sep''25'!AK26</f>
        <v>500</v>
      </c>
      <c r="AG26" s="8">
        <f t="shared" si="66"/>
        <v>0.90744101633393826</v>
      </c>
      <c r="AH26" s="13">
        <f>'[2]Oct-Dec''25'!AM26+'[2]Apr-Sep''25'!AM26</f>
        <v>0</v>
      </c>
      <c r="AI26" s="13">
        <f>'[2]Oct-Dec''25'!AN26+'[2]Apr-Sep''25'!AN26</f>
        <v>0</v>
      </c>
      <c r="AJ26" s="8" t="e">
        <f t="shared" si="67"/>
        <v>#DIV/0!</v>
      </c>
      <c r="AK26" s="13">
        <f>'[2]Oct-Dec''25'!AP26+'[2]Apr-Sep''25'!AP26</f>
        <v>49</v>
      </c>
      <c r="AL26" s="13">
        <f>'[2]Oct-Dec''25'!AQ26+'[2]Apr-Sep''25'!AQ26</f>
        <v>4</v>
      </c>
      <c r="AM26" s="8">
        <f t="shared" si="68"/>
        <v>8.1632653061224483E-2</v>
      </c>
      <c r="AN26" s="13">
        <f>'[2]Oct-Dec''25'!AS26+'[2]Apr-Sep''25'!AS26</f>
        <v>43</v>
      </c>
      <c r="AO26" s="13">
        <f>'[2]Oct-Dec''25'!AT26+'[2]Apr-Sep''25'!AT26</f>
        <v>22</v>
      </c>
      <c r="AP26" s="8">
        <f t="shared" si="69"/>
        <v>0.51162790697674421</v>
      </c>
      <c r="AQ26" s="13">
        <f>'[2]Oct-Dec''25'!AV26+'[2]Apr-Sep''25'!AV26</f>
        <v>3</v>
      </c>
      <c r="AR26" s="13">
        <f>'[2]Oct-Dec''25'!AW26+'[2]Apr-Sep''25'!AW26</f>
        <v>5</v>
      </c>
      <c r="AS26" s="8">
        <f t="shared" si="70"/>
        <v>1.6666666666666667</v>
      </c>
      <c r="AT26" s="13">
        <f>'[2]Oct-Dec''25'!AY26+'[2]Apr-Sep''25'!AY26</f>
        <v>34</v>
      </c>
      <c r="AU26" s="13">
        <f>'[2]Oct-Dec''25'!AZ26+'[2]Apr-Sep''25'!AZ26</f>
        <v>36</v>
      </c>
      <c r="AV26" s="8">
        <f t="shared" si="71"/>
        <v>1.0588235294117647</v>
      </c>
      <c r="AW26" s="9">
        <f t="shared" si="72"/>
        <v>80</v>
      </c>
      <c r="AX26" s="9">
        <f t="shared" si="73"/>
        <v>63</v>
      </c>
      <c r="AY26" s="8">
        <f t="shared" si="74"/>
        <v>0.78749999999999998</v>
      </c>
      <c r="AZ26" s="13">
        <f>'[2]Oct-Dec''25'!BB26+'[2]Apr-Sep''25'!BB26</f>
        <v>0</v>
      </c>
      <c r="BA26" s="13">
        <f>'[2]Oct-Dec''25'!BC26+'[2]Apr-Sep''25'!BC26</f>
        <v>0</v>
      </c>
      <c r="BB26" s="14">
        <f t="shared" si="75"/>
        <v>0</v>
      </c>
      <c r="BC26" s="13">
        <f>'[2]Oct-Dec''25'!BE26+'[2]Apr-Sep''25'!BE26</f>
        <v>5</v>
      </c>
      <c r="BD26" s="13">
        <f>'[2]Oct-Dec''25'!BF26+'[2]Apr-Sep''25'!BF26</f>
        <v>0</v>
      </c>
      <c r="BE26" s="14">
        <f t="shared" si="76"/>
        <v>0</v>
      </c>
      <c r="BF26" s="13">
        <f>'[2]Oct-Dec''25'!BH26+'[2]Apr-Sep''25'!BH26</f>
        <v>13</v>
      </c>
      <c r="BG26" s="13">
        <f>'[2]Oct-Dec''25'!BI26+'[2]Apr-Sep''25'!BI26</f>
        <v>12</v>
      </c>
      <c r="BH26" s="14">
        <f t="shared" si="77"/>
        <v>0.92307692307692313</v>
      </c>
      <c r="BI26" s="13">
        <f>'[2]Oct-Dec''25'!BK26+'[2]Apr-Sep''25'!BK26</f>
        <v>0</v>
      </c>
      <c r="BJ26" s="13">
        <f>'[2]Oct-Dec''25'!BL26+'[2]Apr-Sep''25'!BL26</f>
        <v>0</v>
      </c>
      <c r="BK26" s="15">
        <f t="shared" si="78"/>
        <v>0</v>
      </c>
      <c r="BL26" s="13">
        <f>'[2]Oct-Dec''25'!BN26+'[2]Apr-Sep''25'!BN26</f>
        <v>0</v>
      </c>
      <c r="BM26" s="13">
        <f>'[2]Oct-Dec''25'!BO26+'[2]Apr-Sep''25'!BO26</f>
        <v>0</v>
      </c>
      <c r="BN26" s="15">
        <f t="shared" si="79"/>
        <v>0</v>
      </c>
      <c r="BO26" s="13">
        <f>'[2]Oct-Dec''25'!BQ26+'[2]Apr-Sep''25'!BQ26</f>
        <v>0</v>
      </c>
      <c r="BP26" s="13">
        <f>'[2]Oct-Dec''25'!BR26+'[2]Apr-Sep''25'!BR26</f>
        <v>0</v>
      </c>
      <c r="BQ26" s="15">
        <f t="shared" si="80"/>
        <v>0</v>
      </c>
      <c r="BR26" s="13">
        <f>'[2]Oct-Dec''25'!BT26+'[2]Apr-Sep''25'!BT26</f>
        <v>0</v>
      </c>
      <c r="BS26" s="13">
        <f>'[2]Oct-Dec''25'!BU26+'[2]Apr-Sep''25'!BU26</f>
        <v>0</v>
      </c>
      <c r="BT26" s="14">
        <f t="shared" si="81"/>
        <v>0</v>
      </c>
      <c r="BU26" s="13">
        <f>'[2]Oct-Dec''25'!BW26+'[2]Apr-Sep''25'!BW26</f>
        <v>0</v>
      </c>
      <c r="BV26" s="13">
        <f>'[2]Oct-Dec''25'!BX26+'[2]Apr-Sep''25'!BX26</f>
        <v>0</v>
      </c>
      <c r="BW26" s="14">
        <f t="shared" si="82"/>
        <v>0</v>
      </c>
      <c r="BX26" s="13">
        <f>'[2]Oct-Dec''25'!BZ26+'[2]Apr-Sep''25'!BZ26</f>
        <v>538</v>
      </c>
      <c r="BY26" s="13">
        <f>'[2]Oct-Dec''25'!CA26+'[2]Apr-Sep''25'!CA26</f>
        <v>9</v>
      </c>
      <c r="BZ26" s="14">
        <f t="shared" si="83"/>
        <v>1.6728624535315983E-2</v>
      </c>
      <c r="CA26" s="13">
        <f>'[2]Oct-Dec''25'!CC26+'[2]Apr-Sep''25'!CC26</f>
        <v>97</v>
      </c>
      <c r="CB26" s="13">
        <f>'[2]Oct-Dec''25'!CD26+'[2]Apr-Sep''25'!CD26</f>
        <v>73</v>
      </c>
      <c r="CC26" s="14">
        <f t="shared" si="84"/>
        <v>0.75257731958762886</v>
      </c>
      <c r="CD26" s="13">
        <f>'[2]Oct-Dec''25'!CF26+'[2]Apr-Sep''25'!CF26</f>
        <v>0</v>
      </c>
      <c r="CE26" s="13">
        <f>'[2]Oct-Dec''25'!CG26+'[2]Apr-Sep''25'!CG26</f>
        <v>0</v>
      </c>
      <c r="CF26" s="14">
        <f t="shared" si="85"/>
        <v>0</v>
      </c>
    </row>
    <row r="27" spans="1:84" ht="24" x14ac:dyDescent="0.25">
      <c r="A27" s="12">
        <f>'[2]Oct-Dec''25'!A27</f>
        <v>21</v>
      </c>
      <c r="B27" s="12" t="str">
        <f>'[2]Oct-Dec''25'!B27</f>
        <v>YRG Care</v>
      </c>
      <c r="C27" s="1" t="str">
        <f>'[2]Oct-Dec''25'!C27</f>
        <v>Delhi</v>
      </c>
      <c r="D27" s="3" t="str">
        <f>'[2]Oct-Dec''25'!D27</f>
        <v>RAJMALA WELFARE SOCIETY</v>
      </c>
      <c r="E27" s="1" t="str">
        <f>'[2]Oct-Dec''25'!E27</f>
        <v>CENTRAL</v>
      </c>
      <c r="F27" s="12" t="s">
        <v>85</v>
      </c>
      <c r="G27" s="13">
        <f>'[2]Oct-Dec''25'!H27+'[2]Apr-Sep''25'!H27</f>
        <v>868</v>
      </c>
      <c r="H27" s="13">
        <f>'[2]Oct-Dec''25'!I27+'[2]Apr-Sep''25'!I27</f>
        <v>652</v>
      </c>
      <c r="I27" s="7">
        <f t="shared" si="59"/>
        <v>0.75115207373271886</v>
      </c>
      <c r="J27" s="13">
        <f>'[2]Oct-Dec''25'!K27+'[2]Apr-Sep''25'!K27</f>
        <v>50</v>
      </c>
      <c r="K27" s="13">
        <f>'[2]Oct-Dec''25'!L27+'[2]Apr-Sep''25'!L27</f>
        <v>13</v>
      </c>
      <c r="L27" s="7">
        <f>K27/J27</f>
        <v>0.26</v>
      </c>
      <c r="M27" s="13">
        <f>'[2]Oct-Dec''25'!N27+'[2]Apr-Sep''25'!N27</f>
        <v>695</v>
      </c>
      <c r="N27" s="13">
        <f>'[2]Oct-Dec''25'!O27+'[2]Apr-Sep''25'!O27</f>
        <v>695</v>
      </c>
      <c r="O27" s="8">
        <f t="shared" si="60"/>
        <v>1</v>
      </c>
      <c r="P27" s="13">
        <f>'[2]Oct-Dec''25'!Q27+'[2]Apr-Sep''25'!Q27</f>
        <v>550</v>
      </c>
      <c r="Q27" s="13">
        <f>'[2]Oct-Dec''25'!R27+'[2]Apr-Sep''25'!R27</f>
        <v>430</v>
      </c>
      <c r="R27" s="8">
        <f t="shared" si="61"/>
        <v>0.78181818181818186</v>
      </c>
      <c r="S27" s="13">
        <f>'[2]Oct-Dec''25'!T27+'[2]Apr-Sep''25'!T27</f>
        <v>4698</v>
      </c>
      <c r="T27" s="13">
        <f>'[2]Oct-Dec''25'!U27+'[2]Apr-Sep''25'!U27</f>
        <v>3920</v>
      </c>
      <c r="U27" s="8">
        <f t="shared" si="62"/>
        <v>0.83439761600681139</v>
      </c>
      <c r="V27" s="13">
        <f>'[2]Oct-Dec''25'!W27+'[2]Apr-Sep''25'!W27</f>
        <v>1534</v>
      </c>
      <c r="W27" s="13">
        <f>'[2]Oct-Dec''25'!Y27+'[2]Apr-Sep''25'!Y27</f>
        <v>1397</v>
      </c>
      <c r="X27" s="8">
        <f t="shared" si="63"/>
        <v>0.91069100391134294</v>
      </c>
      <c r="Y27" s="13">
        <f>'[2]Oct-Dec''25'!AA27+'[2]Apr-Sep''25'!AA27</f>
        <v>214</v>
      </c>
      <c r="Z27" s="13">
        <f>'[2]Oct-Dec''25'!AB27+'[2]Apr-Sep''25'!AB27</f>
        <v>216</v>
      </c>
      <c r="AA27" s="8">
        <f t="shared" si="64"/>
        <v>1.0093457943925233</v>
      </c>
      <c r="AB27" s="13">
        <f>'[2]Oct-Dec''25'!AD27+'[2]Apr-Sep''25'!AD27</f>
        <v>116</v>
      </c>
      <c r="AC27" s="13">
        <f>'[2]Oct-Dec''25'!AE27+'[2]Apr-Sep''25'!AE27</f>
        <v>110</v>
      </c>
      <c r="AD27" s="8">
        <f t="shared" si="65"/>
        <v>0.94827586206896552</v>
      </c>
      <c r="AE27" s="13">
        <f>'[2]Oct-Dec''25'!AJ27+'[2]Apr-Sep''25'!AJ27</f>
        <v>3115</v>
      </c>
      <c r="AF27" s="13">
        <f>'[2]Oct-Dec''25'!AK27+'[2]Apr-Sep''25'!AK27</f>
        <v>3011</v>
      </c>
      <c r="AG27" s="8">
        <f t="shared" si="66"/>
        <v>0.96661316211878012</v>
      </c>
      <c r="AH27" s="13">
        <f>'[2]Oct-Dec''25'!AM27+'[2]Apr-Sep''25'!AM27</f>
        <v>134</v>
      </c>
      <c r="AI27" s="13">
        <f>'[2]Oct-Dec''25'!AN27+'[2]Apr-Sep''25'!AN27</f>
        <v>117</v>
      </c>
      <c r="AJ27" s="8">
        <f t="shared" si="67"/>
        <v>0.87313432835820892</v>
      </c>
      <c r="AK27" s="13">
        <f>'[2]Oct-Dec''25'!AP27+'[2]Apr-Sep''25'!AP27</f>
        <v>121</v>
      </c>
      <c r="AL27" s="13">
        <f>'[2]Oct-Dec''25'!AQ27+'[2]Apr-Sep''25'!AQ27</f>
        <v>21</v>
      </c>
      <c r="AM27" s="8">
        <f t="shared" si="68"/>
        <v>0.17355371900826447</v>
      </c>
      <c r="AN27" s="13">
        <f>'[2]Oct-Dec''25'!AS27+'[2]Apr-Sep''25'!AS27</f>
        <v>137</v>
      </c>
      <c r="AO27" s="13">
        <f>'[2]Oct-Dec''25'!AT27+'[2]Apr-Sep''25'!AT27</f>
        <v>113</v>
      </c>
      <c r="AP27" s="8">
        <f t="shared" si="69"/>
        <v>0.82481751824817517</v>
      </c>
      <c r="AQ27" s="13">
        <f>'[2]Oct-Dec''25'!AV27+'[2]Apr-Sep''25'!AV27</f>
        <v>49</v>
      </c>
      <c r="AR27" s="13">
        <f>'[2]Oct-Dec''25'!AW27+'[2]Apr-Sep''25'!AW27</f>
        <v>3</v>
      </c>
      <c r="AS27" s="8">
        <f t="shared" si="70"/>
        <v>6.1224489795918366E-2</v>
      </c>
      <c r="AT27" s="13">
        <f>'[2]Oct-Dec''25'!AY27+'[2]Apr-Sep''25'!AY27</f>
        <v>3</v>
      </c>
      <c r="AU27" s="13">
        <f>'[2]Oct-Dec''25'!AZ27+'[2]Apr-Sep''25'!AZ27</f>
        <v>3</v>
      </c>
      <c r="AV27" s="8">
        <f t="shared" si="71"/>
        <v>1</v>
      </c>
      <c r="AW27" s="9">
        <f t="shared" si="72"/>
        <v>189</v>
      </c>
      <c r="AX27" s="9">
        <f t="shared" si="73"/>
        <v>119</v>
      </c>
      <c r="AY27" s="8">
        <f t="shared" si="74"/>
        <v>0.62962962962962965</v>
      </c>
      <c r="AZ27" s="13">
        <f>'[2]Oct-Dec''25'!BB27+'[2]Apr-Sep''25'!BB27</f>
        <v>0</v>
      </c>
      <c r="BA27" s="13">
        <f>'[2]Oct-Dec''25'!BC27+'[2]Apr-Sep''25'!BC27</f>
        <v>0</v>
      </c>
      <c r="BB27" s="14">
        <f t="shared" si="75"/>
        <v>0</v>
      </c>
      <c r="BC27" s="13">
        <f>'[2]Oct-Dec''25'!BE27+'[2]Apr-Sep''25'!BE27</f>
        <v>4</v>
      </c>
      <c r="BD27" s="13">
        <f>'[2]Oct-Dec''25'!BF27+'[2]Apr-Sep''25'!BF27</f>
        <v>7</v>
      </c>
      <c r="BE27" s="14">
        <f t="shared" si="76"/>
        <v>1.75</v>
      </c>
      <c r="BF27" s="13">
        <f>'[2]Oct-Dec''25'!BH27+'[2]Apr-Sep''25'!BH27</f>
        <v>9</v>
      </c>
      <c r="BG27" s="13">
        <f>'[2]Oct-Dec''25'!BI27+'[2]Apr-Sep''25'!BI27</f>
        <v>7</v>
      </c>
      <c r="BH27" s="14">
        <f t="shared" si="77"/>
        <v>0.77777777777777779</v>
      </c>
      <c r="BI27" s="13">
        <f>'[2]Oct-Dec''25'!BK27+'[2]Apr-Sep''25'!BK27</f>
        <v>0</v>
      </c>
      <c r="BJ27" s="13">
        <f>'[2]Oct-Dec''25'!BL27+'[2]Apr-Sep''25'!BL27</f>
        <v>0</v>
      </c>
      <c r="BK27" s="15">
        <f t="shared" si="78"/>
        <v>0</v>
      </c>
      <c r="BL27" s="13">
        <f>'[2]Oct-Dec''25'!BN27+'[2]Apr-Sep''25'!BN27</f>
        <v>0</v>
      </c>
      <c r="BM27" s="13">
        <f>'[2]Oct-Dec''25'!BO27+'[2]Apr-Sep''25'!BO27</f>
        <v>0</v>
      </c>
      <c r="BN27" s="15">
        <f t="shared" si="79"/>
        <v>0</v>
      </c>
      <c r="BO27" s="13">
        <f>'[2]Oct-Dec''25'!BQ27+'[2]Apr-Sep''25'!BQ27</f>
        <v>0</v>
      </c>
      <c r="BP27" s="13">
        <f>'[2]Oct-Dec''25'!BR27+'[2]Apr-Sep''25'!BR27</f>
        <v>0</v>
      </c>
      <c r="BQ27" s="15">
        <f t="shared" si="80"/>
        <v>0</v>
      </c>
      <c r="BR27" s="13">
        <f>'[2]Oct-Dec''25'!BT27+'[2]Apr-Sep''25'!BT27</f>
        <v>0</v>
      </c>
      <c r="BS27" s="13">
        <f>'[2]Oct-Dec''25'!BU27+'[2]Apr-Sep''25'!BU27</f>
        <v>0</v>
      </c>
      <c r="BT27" s="14">
        <f t="shared" si="81"/>
        <v>0</v>
      </c>
      <c r="BU27" s="13">
        <f>'[2]Oct-Dec''25'!BW27+'[2]Apr-Sep''25'!BW27</f>
        <v>0</v>
      </c>
      <c r="BV27" s="13">
        <f>'[2]Oct-Dec''25'!BX27+'[2]Apr-Sep''25'!BX27</f>
        <v>0</v>
      </c>
      <c r="BW27" s="14">
        <f t="shared" si="82"/>
        <v>0</v>
      </c>
      <c r="BX27" s="13">
        <f>'[2]Oct-Dec''25'!BZ27+'[2]Apr-Sep''25'!BZ27</f>
        <v>652</v>
      </c>
      <c r="BY27" s="13">
        <f>'[2]Oct-Dec''25'!CA27+'[2]Apr-Sep''25'!CA27</f>
        <v>580</v>
      </c>
      <c r="BZ27" s="14">
        <f t="shared" si="83"/>
        <v>0.88957055214723924</v>
      </c>
      <c r="CA27" s="13">
        <f>'[2]Oct-Dec''25'!CC27+'[2]Apr-Sep''25'!CC27</f>
        <v>77</v>
      </c>
      <c r="CB27" s="13">
        <f>'[2]Oct-Dec''25'!CD27+'[2]Apr-Sep''25'!CD27</f>
        <v>55</v>
      </c>
      <c r="CC27" s="14">
        <f t="shared" si="84"/>
        <v>0.7142857142857143</v>
      </c>
      <c r="CD27" s="13">
        <f>'[2]Oct-Dec''25'!CF27+'[2]Apr-Sep''25'!CF27</f>
        <v>0</v>
      </c>
      <c r="CE27" s="13">
        <f>'[2]Oct-Dec''25'!CG27+'[2]Apr-Sep''25'!CG27</f>
        <v>0</v>
      </c>
      <c r="CF27" s="14">
        <f t="shared" si="85"/>
        <v>0</v>
      </c>
    </row>
    <row r="28" spans="1:84" x14ac:dyDescent="0.25">
      <c r="A28" s="12">
        <f>'[2]Oct-Dec''25'!A28</f>
        <v>22</v>
      </c>
      <c r="B28" s="12" t="str">
        <f>'[2]Oct-Dec''25'!B28</f>
        <v>YRG Care</v>
      </c>
      <c r="C28" s="1" t="str">
        <f>'[2]Oct-Dec''25'!C28</f>
        <v>Delhi</v>
      </c>
      <c r="D28" s="3" t="str">
        <f>'[2]Oct-Dec''25'!D28</f>
        <v>LOVE LIFE SOCIETY</v>
      </c>
      <c r="E28" s="1" t="str">
        <f>'[2]Oct-Dec''25'!E28</f>
        <v>WEST DELHI</v>
      </c>
      <c r="F28" s="12" t="s">
        <v>85</v>
      </c>
      <c r="G28" s="13">
        <f>'[2]Oct-Dec''25'!H28+'[2]Apr-Sep''25'!H28</f>
        <v>483</v>
      </c>
      <c r="H28" s="13">
        <f>'[2]Oct-Dec''25'!I28+'[2]Apr-Sep''25'!I28</f>
        <v>438</v>
      </c>
      <c r="I28" s="7">
        <f t="shared" si="59"/>
        <v>0.90683229813664601</v>
      </c>
      <c r="J28" s="13">
        <f>'[2]Oct-Dec''25'!K28+'[2]Apr-Sep''25'!K28</f>
        <v>10</v>
      </c>
      <c r="K28" s="13">
        <f>'[2]Oct-Dec''25'!L28+'[2]Apr-Sep''25'!L28</f>
        <v>5</v>
      </c>
      <c r="L28" s="7">
        <f>K28/J28</f>
        <v>0.5</v>
      </c>
      <c r="M28" s="13">
        <f>'[2]Oct-Dec''25'!N28+'[2]Apr-Sep''25'!N28</f>
        <v>374</v>
      </c>
      <c r="N28" s="13">
        <f>'[2]Oct-Dec''25'!O28+'[2]Apr-Sep''25'!O28</f>
        <v>374</v>
      </c>
      <c r="O28" s="8">
        <f t="shared" si="60"/>
        <v>1</v>
      </c>
      <c r="P28" s="13">
        <f>'[2]Oct-Dec''25'!Q28+'[2]Apr-Sep''25'!Q28</f>
        <v>397</v>
      </c>
      <c r="Q28" s="13">
        <f>'[2]Oct-Dec''25'!R28+'[2]Apr-Sep''25'!R28</f>
        <v>347</v>
      </c>
      <c r="R28" s="8">
        <f t="shared" si="61"/>
        <v>0.87405541561712852</v>
      </c>
      <c r="S28" s="13">
        <f>'[2]Oct-Dec''25'!T28+'[2]Apr-Sep''25'!T28</f>
        <v>1158</v>
      </c>
      <c r="T28" s="13">
        <f>'[2]Oct-Dec''25'!U28+'[2]Apr-Sep''25'!U28</f>
        <v>986</v>
      </c>
      <c r="U28" s="8">
        <f t="shared" si="62"/>
        <v>0.85146804835924006</v>
      </c>
      <c r="V28" s="13">
        <f>'[2]Oct-Dec''25'!W28+'[2]Apr-Sep''25'!W28</f>
        <v>676</v>
      </c>
      <c r="W28" s="13">
        <f>'[2]Oct-Dec''25'!Y28+'[2]Apr-Sep''25'!Y28</f>
        <v>436</v>
      </c>
      <c r="X28" s="8">
        <f t="shared" si="63"/>
        <v>0.6449704142011834</v>
      </c>
      <c r="Y28" s="13">
        <f>'[2]Oct-Dec''25'!AA28+'[2]Apr-Sep''25'!AA28</f>
        <v>222</v>
      </c>
      <c r="Z28" s="13">
        <f>'[2]Oct-Dec''25'!AB28+'[2]Apr-Sep''25'!AB28</f>
        <v>222</v>
      </c>
      <c r="AA28" s="8">
        <f t="shared" si="64"/>
        <v>1</v>
      </c>
      <c r="AB28" s="13">
        <f>'[2]Oct-Dec''25'!AD28+'[2]Apr-Sep''25'!AD28</f>
        <v>150</v>
      </c>
      <c r="AC28" s="13">
        <f>'[2]Oct-Dec''25'!AE28+'[2]Apr-Sep''25'!AE28</f>
        <v>75</v>
      </c>
      <c r="AD28" s="8">
        <f t="shared" si="65"/>
        <v>0.5</v>
      </c>
      <c r="AE28" s="13">
        <f>'[2]Oct-Dec''25'!AJ28+'[2]Apr-Sep''25'!AJ28</f>
        <v>437</v>
      </c>
      <c r="AF28" s="13">
        <f>'[2]Oct-Dec''25'!AK28+'[2]Apr-Sep''25'!AK28</f>
        <v>428</v>
      </c>
      <c r="AG28" s="8">
        <f t="shared" si="66"/>
        <v>0.97940503432494275</v>
      </c>
      <c r="AH28" s="13">
        <f>'[2]Oct-Dec''25'!AM28+'[2]Apr-Sep''25'!AM28</f>
        <v>1</v>
      </c>
      <c r="AI28" s="13">
        <f>'[2]Oct-Dec''25'!AN28+'[2]Apr-Sep''25'!AN28</f>
        <v>1</v>
      </c>
      <c r="AJ28" s="8">
        <f t="shared" si="67"/>
        <v>1</v>
      </c>
      <c r="AK28" s="13">
        <f>'[2]Oct-Dec''25'!AP28+'[2]Apr-Sep''25'!AP28</f>
        <v>79</v>
      </c>
      <c r="AL28" s="13">
        <f>'[2]Oct-Dec''25'!AQ28+'[2]Apr-Sep''25'!AQ28</f>
        <v>62</v>
      </c>
      <c r="AM28" s="8">
        <f t="shared" si="68"/>
        <v>0.78481012658227844</v>
      </c>
      <c r="AN28" s="13">
        <f>'[2]Oct-Dec''25'!AS28+'[2]Apr-Sep''25'!AS28</f>
        <v>170</v>
      </c>
      <c r="AO28" s="13">
        <f>'[2]Oct-Dec''25'!AT28+'[2]Apr-Sep''25'!AT28</f>
        <v>147</v>
      </c>
      <c r="AP28" s="8">
        <f t="shared" si="69"/>
        <v>0.86470588235294121</v>
      </c>
      <c r="AQ28" s="13">
        <f>'[2]Oct-Dec''25'!AV28+'[2]Apr-Sep''25'!AV28</f>
        <v>53</v>
      </c>
      <c r="AR28" s="13">
        <f>'[2]Oct-Dec''25'!AW28+'[2]Apr-Sep''25'!AW28</f>
        <v>51</v>
      </c>
      <c r="AS28" s="8">
        <f t="shared" si="70"/>
        <v>0.96226415094339623</v>
      </c>
      <c r="AT28" s="13">
        <f>'[2]Oct-Dec''25'!AY28+'[2]Apr-Sep''25'!AY28</f>
        <v>51</v>
      </c>
      <c r="AU28" s="13">
        <f>'[2]Oct-Dec''25'!AZ28+'[2]Apr-Sep''25'!AZ28</f>
        <v>48</v>
      </c>
      <c r="AV28" s="8">
        <f t="shared" si="71"/>
        <v>0.94117647058823528</v>
      </c>
      <c r="AW28" s="9">
        <f t="shared" si="72"/>
        <v>274</v>
      </c>
      <c r="AX28" s="9">
        <f t="shared" si="73"/>
        <v>246</v>
      </c>
      <c r="AY28" s="8">
        <f t="shared" si="74"/>
        <v>0.8978102189781022</v>
      </c>
      <c r="AZ28" s="13">
        <f>'[2]Oct-Dec''25'!BB28+'[2]Apr-Sep''25'!BB28</f>
        <v>29</v>
      </c>
      <c r="BA28" s="13">
        <f>'[2]Oct-Dec''25'!BC28+'[2]Apr-Sep''25'!BC28</f>
        <v>23</v>
      </c>
      <c r="BB28" s="14">
        <f t="shared" si="75"/>
        <v>0.7931034482758621</v>
      </c>
      <c r="BC28" s="13">
        <f>'[2]Oct-Dec''25'!BE28+'[2]Apr-Sep''25'!BE28</f>
        <v>2</v>
      </c>
      <c r="BD28" s="13">
        <f>'[2]Oct-Dec''25'!BF28+'[2]Apr-Sep''25'!BF28</f>
        <v>5</v>
      </c>
      <c r="BE28" s="14">
        <f t="shared" si="76"/>
        <v>2.5</v>
      </c>
      <c r="BF28" s="13">
        <f>'[2]Oct-Dec''25'!BH28+'[2]Apr-Sep''25'!BH28</f>
        <v>1</v>
      </c>
      <c r="BG28" s="13">
        <f>'[2]Oct-Dec''25'!BI28+'[2]Apr-Sep''25'!BI28</f>
        <v>1</v>
      </c>
      <c r="BH28" s="14">
        <f t="shared" si="77"/>
        <v>1</v>
      </c>
      <c r="BI28" s="13">
        <f>'[2]Oct-Dec''25'!BK28+'[2]Apr-Sep''25'!BK28</f>
        <v>0</v>
      </c>
      <c r="BJ28" s="13">
        <f>'[2]Oct-Dec''25'!BL28+'[2]Apr-Sep''25'!BL28</f>
        <v>0</v>
      </c>
      <c r="BK28" s="15">
        <f t="shared" si="78"/>
        <v>0</v>
      </c>
      <c r="BL28" s="13">
        <f>'[2]Oct-Dec''25'!BN28+'[2]Apr-Sep''25'!BN28</f>
        <v>0</v>
      </c>
      <c r="BM28" s="13">
        <f>'[2]Oct-Dec''25'!BO28+'[2]Apr-Sep''25'!BO28</f>
        <v>0</v>
      </c>
      <c r="BN28" s="15">
        <f t="shared" si="79"/>
        <v>0</v>
      </c>
      <c r="BO28" s="13">
        <f>'[2]Oct-Dec''25'!BQ28+'[2]Apr-Sep''25'!BQ28</f>
        <v>0</v>
      </c>
      <c r="BP28" s="13">
        <f>'[2]Oct-Dec''25'!BR28+'[2]Apr-Sep''25'!BR28</f>
        <v>0</v>
      </c>
      <c r="BQ28" s="15">
        <f t="shared" si="80"/>
        <v>0</v>
      </c>
      <c r="BR28" s="13">
        <f>'[2]Oct-Dec''25'!BT28+'[2]Apr-Sep''25'!BT28</f>
        <v>0</v>
      </c>
      <c r="BS28" s="13">
        <f>'[2]Oct-Dec''25'!BU28+'[2]Apr-Sep''25'!BU28</f>
        <v>0</v>
      </c>
      <c r="BT28" s="14">
        <f t="shared" si="81"/>
        <v>0</v>
      </c>
      <c r="BU28" s="13">
        <f>'[2]Oct-Dec''25'!BW28+'[2]Apr-Sep''25'!BW28</f>
        <v>0</v>
      </c>
      <c r="BV28" s="13">
        <f>'[2]Oct-Dec''25'!BX28+'[2]Apr-Sep''25'!BX28</f>
        <v>0</v>
      </c>
      <c r="BW28" s="14">
        <f t="shared" si="82"/>
        <v>0</v>
      </c>
      <c r="BX28" s="13">
        <f>'[2]Oct-Dec''25'!BZ28+'[2]Apr-Sep''25'!BZ28</f>
        <v>438</v>
      </c>
      <c r="BY28" s="13">
        <f>'[2]Oct-Dec''25'!CA28+'[2]Apr-Sep''25'!CA28</f>
        <v>2725</v>
      </c>
      <c r="BZ28" s="14">
        <f t="shared" si="83"/>
        <v>6.2214611872146115</v>
      </c>
      <c r="CA28" s="13">
        <f>'[2]Oct-Dec''25'!CC28+'[2]Apr-Sep''25'!CC28</f>
        <v>175</v>
      </c>
      <c r="CB28" s="13">
        <f>'[2]Oct-Dec''25'!CD28+'[2]Apr-Sep''25'!CD28</f>
        <v>136</v>
      </c>
      <c r="CC28" s="14">
        <f t="shared" si="84"/>
        <v>0.77714285714285714</v>
      </c>
      <c r="CD28" s="13">
        <f>'[2]Oct-Dec''25'!CF28+'[2]Apr-Sep''25'!CF28</f>
        <v>0</v>
      </c>
      <c r="CE28" s="13">
        <f>'[2]Oct-Dec''25'!CG28+'[2]Apr-Sep''25'!CG28</f>
        <v>0</v>
      </c>
      <c r="CF28" s="14">
        <f t="shared" si="85"/>
        <v>0</v>
      </c>
    </row>
    <row r="29" spans="1:84" ht="24" x14ac:dyDescent="0.25">
      <c r="A29" s="12">
        <f>'[2]Oct-Dec''25'!A29</f>
        <v>23</v>
      </c>
      <c r="B29" s="12" t="str">
        <f>'[2]Oct-Dec''25'!B29</f>
        <v>YRG Care</v>
      </c>
      <c r="C29" s="1" t="str">
        <f>'[2]Oct-Dec''25'!C29</f>
        <v>Delhi</v>
      </c>
      <c r="D29" s="3" t="str">
        <f>'[2]Oct-Dec''25'!D29</f>
        <v>ABHIVYAKTI FOUNDATION</v>
      </c>
      <c r="E29" s="1" t="str">
        <f>'[2]Oct-Dec''25'!E29</f>
        <v>NORTH EAST</v>
      </c>
      <c r="F29" s="12" t="s">
        <v>85</v>
      </c>
      <c r="G29" s="13">
        <f>'[2]Oct-Dec''25'!H29+'[2]Apr-Sep''25'!H29</f>
        <v>700</v>
      </c>
      <c r="H29" s="13">
        <f>'[2]Oct-Dec''25'!I29+'[2]Apr-Sep''25'!I29</f>
        <v>544</v>
      </c>
      <c r="I29" s="7">
        <f t="shared" si="59"/>
        <v>0.77714285714285714</v>
      </c>
      <c r="J29" s="13">
        <f>'[2]Oct-Dec''25'!K29+'[2]Apr-Sep''25'!K29</f>
        <v>0</v>
      </c>
      <c r="K29" s="13">
        <f>'[2]Oct-Dec''25'!L29+'[2]Apr-Sep''25'!L29</f>
        <v>0</v>
      </c>
      <c r="L29" s="7"/>
      <c r="M29" s="13">
        <f>'[2]Oct-Dec''25'!N29+'[2]Apr-Sep''25'!N29</f>
        <v>624</v>
      </c>
      <c r="N29" s="13">
        <f>'[2]Oct-Dec''25'!O29+'[2]Apr-Sep''25'!O29</f>
        <v>593</v>
      </c>
      <c r="O29" s="8">
        <f t="shared" si="60"/>
        <v>0.95032051282051277</v>
      </c>
      <c r="P29" s="13">
        <f>'[2]Oct-Dec''25'!Q29+'[2]Apr-Sep''25'!Q29</f>
        <v>595</v>
      </c>
      <c r="Q29" s="13">
        <f>'[2]Oct-Dec''25'!R29+'[2]Apr-Sep''25'!R29</f>
        <v>400</v>
      </c>
      <c r="R29" s="8">
        <f t="shared" si="61"/>
        <v>0.67226890756302526</v>
      </c>
      <c r="S29" s="13">
        <f>'[2]Oct-Dec''25'!T29+'[2]Apr-Sep''25'!T29</f>
        <v>2602</v>
      </c>
      <c r="T29" s="13">
        <f>'[2]Oct-Dec''25'!U29+'[2]Apr-Sep''25'!U29</f>
        <v>1590</v>
      </c>
      <c r="U29" s="8">
        <f t="shared" si="62"/>
        <v>0.61106840891621828</v>
      </c>
      <c r="V29" s="13">
        <f>'[2]Oct-Dec''25'!W29+'[2]Apr-Sep''25'!W29</f>
        <v>1242</v>
      </c>
      <c r="W29" s="13">
        <f>'[2]Oct-Dec''25'!Y29+'[2]Apr-Sep''25'!Y29</f>
        <v>792</v>
      </c>
      <c r="X29" s="8">
        <f t="shared" si="63"/>
        <v>0.6376811594202898</v>
      </c>
      <c r="Y29" s="13">
        <f>'[2]Oct-Dec''25'!AA29+'[2]Apr-Sep''25'!AA29</f>
        <v>149</v>
      </c>
      <c r="Z29" s="13">
        <f>'[2]Oct-Dec''25'!AB29+'[2]Apr-Sep''25'!AB29</f>
        <v>149</v>
      </c>
      <c r="AA29" s="8">
        <f t="shared" si="64"/>
        <v>1</v>
      </c>
      <c r="AB29" s="13">
        <f>'[2]Oct-Dec''25'!AD29+'[2]Apr-Sep''25'!AD29</f>
        <v>116</v>
      </c>
      <c r="AC29" s="13">
        <f>'[2]Oct-Dec''25'!AE29+'[2]Apr-Sep''25'!AE29</f>
        <v>47</v>
      </c>
      <c r="AD29" s="8">
        <f t="shared" si="65"/>
        <v>0.40517241379310343</v>
      </c>
      <c r="AE29" s="13">
        <f>'[2]Oct-Dec''25'!AJ29+'[2]Apr-Sep''25'!AJ29</f>
        <v>2734</v>
      </c>
      <c r="AF29" s="13">
        <f>'[2]Oct-Dec''25'!AK29+'[2]Apr-Sep''25'!AK29</f>
        <v>2045</v>
      </c>
      <c r="AG29" s="8">
        <f t="shared" si="66"/>
        <v>0.74798829553767376</v>
      </c>
      <c r="AH29" s="13">
        <f>'[2]Oct-Dec''25'!AM29+'[2]Apr-Sep''25'!AM29</f>
        <v>12</v>
      </c>
      <c r="AI29" s="13">
        <f>'[2]Oct-Dec''25'!AN29+'[2]Apr-Sep''25'!AN29</f>
        <v>1</v>
      </c>
      <c r="AJ29" s="8">
        <f t="shared" si="67"/>
        <v>8.3333333333333329E-2</v>
      </c>
      <c r="AK29" s="13">
        <f>'[2]Oct-Dec''25'!AP29+'[2]Apr-Sep''25'!AP29</f>
        <v>264</v>
      </c>
      <c r="AL29" s="13">
        <f>'[2]Oct-Dec''25'!AQ29+'[2]Apr-Sep''25'!AQ29</f>
        <v>34</v>
      </c>
      <c r="AM29" s="8">
        <f t="shared" si="68"/>
        <v>0.12878787878787878</v>
      </c>
      <c r="AN29" s="13">
        <f>'[2]Oct-Dec''25'!AS29+'[2]Apr-Sep''25'!AS29</f>
        <v>281</v>
      </c>
      <c r="AO29" s="13">
        <f>'[2]Oct-Dec''25'!AT29+'[2]Apr-Sep''25'!AT29</f>
        <v>55</v>
      </c>
      <c r="AP29" s="8">
        <f t="shared" si="69"/>
        <v>0.19572953736654805</v>
      </c>
      <c r="AQ29" s="13">
        <f>'[2]Oct-Dec''25'!AV29+'[2]Apr-Sep''25'!AV29</f>
        <v>15</v>
      </c>
      <c r="AR29" s="13">
        <f>'[2]Oct-Dec''25'!AW29+'[2]Apr-Sep''25'!AW29</f>
        <v>10</v>
      </c>
      <c r="AS29" s="8">
        <f t="shared" si="70"/>
        <v>0.66666666666666663</v>
      </c>
      <c r="AT29" s="13">
        <f>'[2]Oct-Dec''25'!AY29+'[2]Apr-Sep''25'!AY29</f>
        <v>183</v>
      </c>
      <c r="AU29" s="13">
        <f>'[2]Oct-Dec''25'!AZ29+'[2]Apr-Sep''25'!AZ29</f>
        <v>88</v>
      </c>
      <c r="AV29" s="8">
        <f t="shared" si="71"/>
        <v>0.48087431693989069</v>
      </c>
      <c r="AW29" s="9">
        <f t="shared" si="72"/>
        <v>479</v>
      </c>
      <c r="AX29" s="9">
        <f t="shared" si="73"/>
        <v>153</v>
      </c>
      <c r="AY29" s="8">
        <f t="shared" si="74"/>
        <v>0.31941544885177453</v>
      </c>
      <c r="AZ29" s="13">
        <f>'[2]Oct-Dec''25'!BB29+'[2]Apr-Sep''25'!BB29</f>
        <v>16</v>
      </c>
      <c r="BA29" s="13">
        <f>'[2]Oct-Dec''25'!BC29+'[2]Apr-Sep''25'!BC29</f>
        <v>4</v>
      </c>
      <c r="BB29" s="14">
        <f t="shared" si="75"/>
        <v>0.25</v>
      </c>
      <c r="BC29" s="13">
        <f>'[2]Oct-Dec''25'!BE29+'[2]Apr-Sep''25'!BE29</f>
        <v>0</v>
      </c>
      <c r="BD29" s="13">
        <f>'[2]Oct-Dec''25'!BF29+'[2]Apr-Sep''25'!BF29</f>
        <v>0</v>
      </c>
      <c r="BE29" s="14">
        <f t="shared" si="76"/>
        <v>0</v>
      </c>
      <c r="BF29" s="13">
        <f>'[2]Oct-Dec''25'!BH29+'[2]Apr-Sep''25'!BH29</f>
        <v>7</v>
      </c>
      <c r="BG29" s="13">
        <f>'[2]Oct-Dec''25'!BI29+'[2]Apr-Sep''25'!BI29</f>
        <v>3</v>
      </c>
      <c r="BH29" s="14">
        <f t="shared" si="77"/>
        <v>0.42857142857142855</v>
      </c>
      <c r="BI29" s="13">
        <f>'[2]Oct-Dec''25'!BK29+'[2]Apr-Sep''25'!BK29</f>
        <v>8</v>
      </c>
      <c r="BJ29" s="13">
        <f>'[2]Oct-Dec''25'!BL29+'[2]Apr-Sep''25'!BL29</f>
        <v>8</v>
      </c>
      <c r="BK29" s="15">
        <f t="shared" si="78"/>
        <v>1</v>
      </c>
      <c r="BL29" s="13">
        <f>'[2]Oct-Dec''25'!BN29+'[2]Apr-Sep''25'!BN29</f>
        <v>1</v>
      </c>
      <c r="BM29" s="13">
        <f>'[2]Oct-Dec''25'!BO29+'[2]Apr-Sep''25'!BO29</f>
        <v>1</v>
      </c>
      <c r="BN29" s="15">
        <f t="shared" si="79"/>
        <v>1</v>
      </c>
      <c r="BO29" s="13">
        <f>'[2]Oct-Dec''25'!BQ29+'[2]Apr-Sep''25'!BQ29</f>
        <v>1</v>
      </c>
      <c r="BP29" s="13">
        <f>'[2]Oct-Dec''25'!BR29+'[2]Apr-Sep''25'!BR29</f>
        <v>1</v>
      </c>
      <c r="BQ29" s="15">
        <f t="shared" si="80"/>
        <v>1</v>
      </c>
      <c r="BR29" s="13">
        <f>'[2]Oct-Dec''25'!BT29+'[2]Apr-Sep''25'!BT29</f>
        <v>0</v>
      </c>
      <c r="BS29" s="13">
        <f>'[2]Oct-Dec''25'!BU29+'[2]Apr-Sep''25'!BU29</f>
        <v>0</v>
      </c>
      <c r="BT29" s="14">
        <f t="shared" si="81"/>
        <v>0</v>
      </c>
      <c r="BU29" s="13">
        <f>'[2]Oct-Dec''25'!BW29+'[2]Apr-Sep''25'!BW29</f>
        <v>0</v>
      </c>
      <c r="BV29" s="13">
        <f>'[2]Oct-Dec''25'!BX29+'[2]Apr-Sep''25'!BX29</f>
        <v>0</v>
      </c>
      <c r="BW29" s="14">
        <f t="shared" si="82"/>
        <v>0</v>
      </c>
      <c r="BX29" s="13">
        <f>'[2]Oct-Dec''25'!BZ29+'[2]Apr-Sep''25'!BZ29</f>
        <v>544</v>
      </c>
      <c r="BY29" s="13">
        <f>'[2]Oct-Dec''25'!CA29+'[2]Apr-Sep''25'!CA29</f>
        <v>0</v>
      </c>
      <c r="BZ29" s="14">
        <f t="shared" si="83"/>
        <v>0</v>
      </c>
      <c r="CA29" s="13">
        <f>'[2]Oct-Dec''25'!CC29+'[2]Apr-Sep''25'!CC29</f>
        <v>38</v>
      </c>
      <c r="CB29" s="13">
        <f>'[2]Oct-Dec''25'!CD29+'[2]Apr-Sep''25'!CD29</f>
        <v>27</v>
      </c>
      <c r="CC29" s="14">
        <f t="shared" si="84"/>
        <v>0.71052631578947367</v>
      </c>
      <c r="CD29" s="13">
        <f>'[2]Oct-Dec''25'!CF29+'[2]Apr-Sep''25'!CF29</f>
        <v>0</v>
      </c>
      <c r="CE29" s="13">
        <f>'[2]Oct-Dec''25'!CG29+'[2]Apr-Sep''25'!CG29</f>
        <v>0</v>
      </c>
      <c r="CF29" s="14">
        <f t="shared" si="85"/>
        <v>0</v>
      </c>
    </row>
    <row r="30" spans="1:84" ht="36" x14ac:dyDescent="0.25">
      <c r="A30" s="12">
        <f>'[2]Oct-Dec''25'!A30</f>
        <v>24</v>
      </c>
      <c r="B30" s="12" t="str">
        <f>'[2]Oct-Dec''25'!B30</f>
        <v>YRG Care</v>
      </c>
      <c r="C30" s="1" t="str">
        <f>'[2]Oct-Dec''25'!C30</f>
        <v>Delhi</v>
      </c>
      <c r="D30" s="3" t="str">
        <f>'[2]Oct-Dec''25'!D30</f>
        <v>SARASWATHI EDUCATIONAL SOCIETY</v>
      </c>
      <c r="E30" s="1" t="str">
        <f>'[2]Oct-Dec''25'!E30</f>
        <v>SOUTH DELHI</v>
      </c>
      <c r="F30" s="12" t="s">
        <v>85</v>
      </c>
      <c r="G30" s="13">
        <f>'[2]Oct-Dec''25'!H30+'[2]Apr-Sep''25'!H30</f>
        <v>745</v>
      </c>
      <c r="H30" s="13">
        <f>'[2]Oct-Dec''25'!I30+'[2]Apr-Sep''25'!I30</f>
        <v>624</v>
      </c>
      <c r="I30" s="7">
        <f t="shared" si="59"/>
        <v>0.8375838926174497</v>
      </c>
      <c r="J30" s="13">
        <f>'[2]Oct-Dec''25'!K30+'[2]Apr-Sep''25'!K30</f>
        <v>0</v>
      </c>
      <c r="K30" s="13">
        <f>'[2]Oct-Dec''25'!L30+'[2]Apr-Sep''25'!L30</f>
        <v>0</v>
      </c>
      <c r="L30" s="7"/>
      <c r="M30" s="13">
        <f>'[2]Oct-Dec''25'!N30+'[2]Apr-Sep''25'!N30</f>
        <v>786</v>
      </c>
      <c r="N30" s="13">
        <f>'[2]Oct-Dec''25'!O30+'[2]Apr-Sep''25'!O30</f>
        <v>786</v>
      </c>
      <c r="O30" s="8">
        <f t="shared" si="60"/>
        <v>1</v>
      </c>
      <c r="P30" s="13">
        <f>'[2]Oct-Dec''25'!Q30+'[2]Apr-Sep''25'!Q30</f>
        <v>654</v>
      </c>
      <c r="Q30" s="13">
        <f>'[2]Oct-Dec''25'!R30+'[2]Apr-Sep''25'!R30</f>
        <v>587</v>
      </c>
      <c r="R30" s="8">
        <f t="shared" si="61"/>
        <v>0.89755351681957185</v>
      </c>
      <c r="S30" s="13">
        <f>'[2]Oct-Dec''25'!T30+'[2]Apr-Sep''25'!T30</f>
        <v>3617</v>
      </c>
      <c r="T30" s="13">
        <f>'[2]Oct-Dec''25'!U30+'[2]Apr-Sep''25'!U30</f>
        <v>3198</v>
      </c>
      <c r="U30" s="8">
        <f t="shared" si="62"/>
        <v>0.88415814210671828</v>
      </c>
      <c r="V30" s="13">
        <f>'[2]Oct-Dec''25'!W30+'[2]Apr-Sep''25'!W30</f>
        <v>1330</v>
      </c>
      <c r="W30" s="13">
        <f>'[2]Oct-Dec''25'!Y30+'[2]Apr-Sep''25'!Y30</f>
        <v>1071</v>
      </c>
      <c r="X30" s="8">
        <f t="shared" si="63"/>
        <v>0.80526315789473679</v>
      </c>
      <c r="Y30" s="13">
        <f>'[2]Oct-Dec''25'!AA30+'[2]Apr-Sep''25'!AA30</f>
        <v>629</v>
      </c>
      <c r="Z30" s="13">
        <f>'[2]Oct-Dec''25'!AB30+'[2]Apr-Sep''25'!AB30</f>
        <v>624</v>
      </c>
      <c r="AA30" s="8">
        <f t="shared" si="64"/>
        <v>0.99205087440381556</v>
      </c>
      <c r="AB30" s="13">
        <f>'[2]Oct-Dec''25'!AD30+'[2]Apr-Sep''25'!AD30</f>
        <v>543</v>
      </c>
      <c r="AC30" s="13">
        <f>'[2]Oct-Dec''25'!AE30+'[2]Apr-Sep''25'!AE30</f>
        <v>471</v>
      </c>
      <c r="AD30" s="8">
        <f t="shared" si="65"/>
        <v>0.86740331491712708</v>
      </c>
      <c r="AE30" s="13">
        <f>'[2]Oct-Dec''25'!AJ30+'[2]Apr-Sep''25'!AJ30</f>
        <v>1070</v>
      </c>
      <c r="AF30" s="13">
        <f>'[2]Oct-Dec''25'!AK30+'[2]Apr-Sep''25'!AK30</f>
        <v>1001</v>
      </c>
      <c r="AG30" s="8">
        <f t="shared" si="66"/>
        <v>0.93551401869158879</v>
      </c>
      <c r="AH30" s="13">
        <f>'[2]Oct-Dec''25'!AM30+'[2]Apr-Sep''25'!AM30</f>
        <v>0</v>
      </c>
      <c r="AI30" s="13">
        <f>'[2]Oct-Dec''25'!AN30+'[2]Apr-Sep''25'!AN30</f>
        <v>0</v>
      </c>
      <c r="AJ30" s="8" t="e">
        <f t="shared" si="67"/>
        <v>#DIV/0!</v>
      </c>
      <c r="AK30" s="13">
        <f>'[2]Oct-Dec''25'!AP30+'[2]Apr-Sep''25'!AP30</f>
        <v>100</v>
      </c>
      <c r="AL30" s="13">
        <f>'[2]Oct-Dec''25'!AQ30+'[2]Apr-Sep''25'!AQ30</f>
        <v>4</v>
      </c>
      <c r="AM30" s="8">
        <f t="shared" si="68"/>
        <v>0.04</v>
      </c>
      <c r="AN30" s="13">
        <f>'[2]Oct-Dec''25'!AS30+'[2]Apr-Sep''25'!AS30</f>
        <v>22</v>
      </c>
      <c r="AO30" s="13">
        <f>'[2]Oct-Dec''25'!AT30+'[2]Apr-Sep''25'!AT30</f>
        <v>22</v>
      </c>
      <c r="AP30" s="8">
        <f t="shared" si="69"/>
        <v>1</v>
      </c>
      <c r="AQ30" s="13">
        <f>'[2]Oct-Dec''25'!AV30+'[2]Apr-Sep''25'!AV30</f>
        <v>0</v>
      </c>
      <c r="AR30" s="13">
        <f>'[2]Oct-Dec''25'!AW30+'[2]Apr-Sep''25'!AW30</f>
        <v>0</v>
      </c>
      <c r="AS30" s="8" t="e">
        <f t="shared" si="70"/>
        <v>#DIV/0!</v>
      </c>
      <c r="AT30" s="13">
        <f>'[2]Oct-Dec''25'!AY30+'[2]Apr-Sep''25'!AY30</f>
        <v>16</v>
      </c>
      <c r="AU30" s="13">
        <f>'[2]Oct-Dec''25'!AZ30+'[2]Apr-Sep''25'!AZ30</f>
        <v>14</v>
      </c>
      <c r="AV30" s="8">
        <f t="shared" si="71"/>
        <v>0.875</v>
      </c>
      <c r="AW30" s="9">
        <f t="shared" si="72"/>
        <v>38</v>
      </c>
      <c r="AX30" s="9">
        <f t="shared" si="73"/>
        <v>36</v>
      </c>
      <c r="AY30" s="8">
        <f t="shared" si="74"/>
        <v>0.94736842105263153</v>
      </c>
      <c r="AZ30" s="13">
        <f>'[2]Oct-Dec''25'!BB30+'[2]Apr-Sep''25'!BB30</f>
        <v>37</v>
      </c>
      <c r="BA30" s="13">
        <f>'[2]Oct-Dec''25'!BC30+'[2]Apr-Sep''25'!BC30</f>
        <v>27</v>
      </c>
      <c r="BB30" s="14">
        <f t="shared" si="75"/>
        <v>0.72972972972972971</v>
      </c>
      <c r="BC30" s="13">
        <f>'[2]Oct-Dec''25'!BE30+'[2]Apr-Sep''25'!BE30</f>
        <v>12</v>
      </c>
      <c r="BD30" s="13">
        <f>'[2]Oct-Dec''25'!BF30+'[2]Apr-Sep''25'!BF30</f>
        <v>0</v>
      </c>
      <c r="BE30" s="14">
        <f t="shared" si="76"/>
        <v>0</v>
      </c>
      <c r="BF30" s="13">
        <f>'[2]Oct-Dec''25'!BH30+'[2]Apr-Sep''25'!BH30</f>
        <v>0</v>
      </c>
      <c r="BG30" s="13">
        <f>'[2]Oct-Dec''25'!BI30+'[2]Apr-Sep''25'!BI30</f>
        <v>0</v>
      </c>
      <c r="BH30" s="14">
        <f t="shared" si="77"/>
        <v>0</v>
      </c>
      <c r="BI30" s="13">
        <f>'[2]Oct-Dec''25'!BK30+'[2]Apr-Sep''25'!BK30</f>
        <v>4</v>
      </c>
      <c r="BJ30" s="13">
        <f>'[2]Oct-Dec''25'!BL30+'[2]Apr-Sep''25'!BL30</f>
        <v>3</v>
      </c>
      <c r="BK30" s="15">
        <f t="shared" si="78"/>
        <v>0.75</v>
      </c>
      <c r="BL30" s="13">
        <f>'[2]Oct-Dec''25'!BN30+'[2]Apr-Sep''25'!BN30</f>
        <v>0</v>
      </c>
      <c r="BM30" s="13">
        <f>'[2]Oct-Dec''25'!BO30+'[2]Apr-Sep''25'!BO30</f>
        <v>0</v>
      </c>
      <c r="BN30" s="15">
        <f t="shared" si="79"/>
        <v>0</v>
      </c>
      <c r="BO30" s="13">
        <f>'[2]Oct-Dec''25'!BQ30+'[2]Apr-Sep''25'!BQ30</f>
        <v>0</v>
      </c>
      <c r="BP30" s="13">
        <f>'[2]Oct-Dec''25'!BR30+'[2]Apr-Sep''25'!BR30</f>
        <v>0</v>
      </c>
      <c r="BQ30" s="15">
        <f t="shared" si="80"/>
        <v>0</v>
      </c>
      <c r="BR30" s="13">
        <f>'[2]Oct-Dec''25'!BT30+'[2]Apr-Sep''25'!BT30</f>
        <v>0</v>
      </c>
      <c r="BS30" s="13">
        <f>'[2]Oct-Dec''25'!BU30+'[2]Apr-Sep''25'!BU30</f>
        <v>0</v>
      </c>
      <c r="BT30" s="14">
        <f t="shared" si="81"/>
        <v>0</v>
      </c>
      <c r="BU30" s="13">
        <f>'[2]Oct-Dec''25'!BW30+'[2]Apr-Sep''25'!BW30</f>
        <v>0</v>
      </c>
      <c r="BV30" s="13">
        <f>'[2]Oct-Dec''25'!BX30+'[2]Apr-Sep''25'!BX30</f>
        <v>0</v>
      </c>
      <c r="BW30" s="14">
        <f t="shared" si="82"/>
        <v>0</v>
      </c>
      <c r="BX30" s="13">
        <f>'[2]Oct-Dec''25'!BZ30+'[2]Apr-Sep''25'!BZ30</f>
        <v>624</v>
      </c>
      <c r="BY30" s="13">
        <f>'[2]Oct-Dec''25'!CA30+'[2]Apr-Sep''25'!CA30</f>
        <v>0</v>
      </c>
      <c r="BZ30" s="14">
        <f t="shared" si="83"/>
        <v>0</v>
      </c>
      <c r="CA30" s="13">
        <f>'[2]Oct-Dec''25'!CC30+'[2]Apr-Sep''25'!CC30</f>
        <v>160</v>
      </c>
      <c r="CB30" s="13">
        <f>'[2]Oct-Dec''25'!CD30+'[2]Apr-Sep''25'!CD30</f>
        <v>141</v>
      </c>
      <c r="CC30" s="14">
        <f t="shared" si="84"/>
        <v>0.88124999999999998</v>
      </c>
      <c r="CD30" s="13">
        <f>'[2]Oct-Dec''25'!CF30+'[2]Apr-Sep''25'!CF30</f>
        <v>33</v>
      </c>
      <c r="CE30" s="13">
        <f>'[2]Oct-Dec''25'!CG30+'[2]Apr-Sep''25'!CG30</f>
        <v>32</v>
      </c>
      <c r="CF30" s="14">
        <f t="shared" si="85"/>
        <v>0.96969696969696972</v>
      </c>
    </row>
    <row r="31" spans="1:84" x14ac:dyDescent="0.25">
      <c r="A31" s="12">
        <f>'[2]Oct-Dec''25'!A31</f>
        <v>25</v>
      </c>
      <c r="B31" s="12" t="str">
        <f>'[2]Oct-Dec''25'!B31</f>
        <v>CHRI</v>
      </c>
      <c r="C31" s="1" t="str">
        <f>'[2]Oct-Dec''25'!C31</f>
        <v>MEGHALAYA</v>
      </c>
      <c r="D31" s="3" t="str">
        <f>'[2]Oct-Dec''25'!D31</f>
        <v>MSNP+</v>
      </c>
      <c r="E31" s="1" t="str">
        <f>'[2]Oct-Dec''25'!E31</f>
        <v>EAST KHASI HILLS</v>
      </c>
      <c r="F31" s="12" t="s">
        <v>85</v>
      </c>
      <c r="G31" s="13">
        <f>'[2]Oct-Dec''25'!H31+'[2]Apr-Sep''25'!H31</f>
        <v>1023</v>
      </c>
      <c r="H31" s="13">
        <f>'[2]Oct-Dec''25'!I31+'[2]Apr-Sep''25'!I31</f>
        <v>961</v>
      </c>
      <c r="I31" s="7">
        <f t="shared" si="59"/>
        <v>0.93939393939393945</v>
      </c>
      <c r="J31" s="13">
        <f>'[2]Oct-Dec''25'!K31+'[2]Apr-Sep''25'!K31</f>
        <v>23</v>
      </c>
      <c r="K31" s="13">
        <f>'[2]Oct-Dec''25'!L31+'[2]Apr-Sep''25'!L31</f>
        <v>22</v>
      </c>
      <c r="L31" s="7">
        <f>K31/J31</f>
        <v>0.95652173913043481</v>
      </c>
      <c r="M31" s="13">
        <f>'[2]Oct-Dec''25'!N31+'[2]Apr-Sep''25'!N31</f>
        <v>1025</v>
      </c>
      <c r="N31" s="13">
        <f>'[2]Oct-Dec''25'!O31+'[2]Apr-Sep''25'!O31</f>
        <v>1025</v>
      </c>
      <c r="O31" s="8">
        <f t="shared" si="60"/>
        <v>1</v>
      </c>
      <c r="P31" s="13">
        <f>'[2]Oct-Dec''25'!Q31+'[2]Apr-Sep''25'!Q31</f>
        <v>652</v>
      </c>
      <c r="Q31" s="13">
        <f>'[2]Oct-Dec''25'!R31+'[2]Apr-Sep''25'!R31</f>
        <v>478</v>
      </c>
      <c r="R31" s="8">
        <f t="shared" si="61"/>
        <v>0.73312883435582821</v>
      </c>
      <c r="S31" s="13">
        <f>'[2]Oct-Dec''25'!T31+'[2]Apr-Sep''25'!T31</f>
        <v>4549</v>
      </c>
      <c r="T31" s="13">
        <f>'[2]Oct-Dec''25'!U31+'[2]Apr-Sep''25'!U31</f>
        <v>2709</v>
      </c>
      <c r="U31" s="8">
        <f t="shared" si="62"/>
        <v>0.59551549791162894</v>
      </c>
      <c r="V31" s="13">
        <f>'[2]Oct-Dec''25'!W31+'[2]Apr-Sep''25'!W31</f>
        <v>2629</v>
      </c>
      <c r="W31" s="13">
        <f>'[2]Oct-Dec''25'!Y31+'[2]Apr-Sep''25'!Y31</f>
        <v>1135</v>
      </c>
      <c r="X31" s="8">
        <f t="shared" si="63"/>
        <v>0.43172308862685432</v>
      </c>
      <c r="Y31" s="13">
        <f>'[2]Oct-Dec''25'!AA31+'[2]Apr-Sep''25'!AA31</f>
        <v>415</v>
      </c>
      <c r="Z31" s="13">
        <f>'[2]Oct-Dec''25'!AB31+'[2]Apr-Sep''25'!AB31</f>
        <v>415</v>
      </c>
      <c r="AA31" s="8">
        <f t="shared" si="64"/>
        <v>1</v>
      </c>
      <c r="AB31" s="13">
        <f>'[2]Oct-Dec''25'!AD31+'[2]Apr-Sep''25'!AD31</f>
        <v>837</v>
      </c>
      <c r="AC31" s="13">
        <f>'[2]Oct-Dec''25'!AE31+'[2]Apr-Sep''25'!AE31</f>
        <v>641</v>
      </c>
      <c r="AD31" s="8">
        <f t="shared" si="65"/>
        <v>0.76583034647550774</v>
      </c>
      <c r="AE31" s="13">
        <f>'[2]Oct-Dec''25'!AJ31+'[2]Apr-Sep''25'!AJ31</f>
        <v>2393</v>
      </c>
      <c r="AF31" s="13">
        <f>'[2]Oct-Dec''25'!AK31+'[2]Apr-Sep''25'!AK31</f>
        <v>1588</v>
      </c>
      <c r="AG31" s="8">
        <f t="shared" si="66"/>
        <v>0.66360217300459678</v>
      </c>
      <c r="AH31" s="13">
        <f>'[2]Oct-Dec''25'!AM31+'[2]Apr-Sep''25'!AM31</f>
        <v>0</v>
      </c>
      <c r="AI31" s="13">
        <f>'[2]Oct-Dec''25'!AN31+'[2]Apr-Sep''25'!AN31</f>
        <v>0</v>
      </c>
      <c r="AJ31" s="8" t="e">
        <f t="shared" si="67"/>
        <v>#DIV/0!</v>
      </c>
      <c r="AK31" s="13">
        <f>'[2]Oct-Dec''25'!AP31+'[2]Apr-Sep''25'!AP31</f>
        <v>302</v>
      </c>
      <c r="AL31" s="13">
        <f>'[2]Oct-Dec''25'!AQ31+'[2]Apr-Sep''25'!AQ31</f>
        <v>93</v>
      </c>
      <c r="AM31" s="8">
        <f t="shared" si="68"/>
        <v>0.30794701986754969</v>
      </c>
      <c r="AN31" s="13">
        <f>'[2]Oct-Dec''25'!AS31+'[2]Apr-Sep''25'!AS31</f>
        <v>387</v>
      </c>
      <c r="AO31" s="13">
        <f>'[2]Oct-Dec''25'!AT31+'[2]Apr-Sep''25'!AT31</f>
        <v>340</v>
      </c>
      <c r="AP31" s="8">
        <f t="shared" si="69"/>
        <v>0.87855297157622736</v>
      </c>
      <c r="AQ31" s="13">
        <f>'[2]Oct-Dec''25'!AV31+'[2]Apr-Sep''25'!AV31</f>
        <v>14</v>
      </c>
      <c r="AR31" s="13">
        <f>'[2]Oct-Dec''25'!AW31+'[2]Apr-Sep''25'!AW31</f>
        <v>7</v>
      </c>
      <c r="AS31" s="8">
        <f t="shared" si="70"/>
        <v>0.5</v>
      </c>
      <c r="AT31" s="13">
        <f>'[2]Oct-Dec''25'!AY31+'[2]Apr-Sep''25'!AY31</f>
        <v>554</v>
      </c>
      <c r="AU31" s="13">
        <f>'[2]Oct-Dec''25'!AZ31+'[2]Apr-Sep''25'!AZ31</f>
        <v>471</v>
      </c>
      <c r="AV31" s="8">
        <f t="shared" si="71"/>
        <v>0.85018050541516244</v>
      </c>
      <c r="AW31" s="9">
        <f t="shared" si="72"/>
        <v>955</v>
      </c>
      <c r="AX31" s="9">
        <f t="shared" si="73"/>
        <v>818</v>
      </c>
      <c r="AY31" s="8">
        <f t="shared" si="74"/>
        <v>0.85654450261780102</v>
      </c>
      <c r="AZ31" s="13">
        <f>'[2]Oct-Dec''25'!BB31+'[2]Apr-Sep''25'!BB31</f>
        <v>535</v>
      </c>
      <c r="BA31" s="13">
        <f>'[2]Oct-Dec''25'!BC31+'[2]Apr-Sep''25'!BC31</f>
        <v>245</v>
      </c>
      <c r="BB31" s="14">
        <f t="shared" si="75"/>
        <v>0.45794392523364486</v>
      </c>
      <c r="BC31" s="13">
        <f>'[2]Oct-Dec''25'!BE31+'[2]Apr-Sep''25'!BE31</f>
        <v>0</v>
      </c>
      <c r="BD31" s="13">
        <f>'[2]Oct-Dec''25'!BF31+'[2]Apr-Sep''25'!BF31</f>
        <v>18</v>
      </c>
      <c r="BE31" s="14">
        <f t="shared" si="76"/>
        <v>0</v>
      </c>
      <c r="BF31" s="13">
        <f>'[2]Oct-Dec''25'!BH31+'[2]Apr-Sep''25'!BH31</f>
        <v>128</v>
      </c>
      <c r="BG31" s="13">
        <f>'[2]Oct-Dec''25'!BI31+'[2]Apr-Sep''25'!BI31</f>
        <v>84</v>
      </c>
      <c r="BH31" s="14">
        <f t="shared" si="77"/>
        <v>0.65625</v>
      </c>
      <c r="BI31" s="13">
        <f>'[2]Oct-Dec''25'!BK31+'[2]Apr-Sep''25'!BK31</f>
        <v>121</v>
      </c>
      <c r="BJ31" s="13">
        <f>'[2]Oct-Dec''25'!BL31+'[2]Apr-Sep''25'!BL31</f>
        <v>83</v>
      </c>
      <c r="BK31" s="15">
        <f t="shared" si="78"/>
        <v>0.68595041322314054</v>
      </c>
      <c r="BL31" s="13">
        <f>'[2]Oct-Dec''25'!BN31+'[2]Apr-Sep''25'!BN31</f>
        <v>91</v>
      </c>
      <c r="BM31" s="13">
        <f>'[2]Oct-Dec''25'!BO31+'[2]Apr-Sep''25'!BO31</f>
        <v>53</v>
      </c>
      <c r="BN31" s="15">
        <f t="shared" si="79"/>
        <v>0.58241758241758246</v>
      </c>
      <c r="BO31" s="13">
        <f>'[2]Oct-Dec''25'!BQ31+'[2]Apr-Sep''25'!BQ31</f>
        <v>72</v>
      </c>
      <c r="BP31" s="13">
        <f>'[2]Oct-Dec''25'!BR31+'[2]Apr-Sep''25'!BR31</f>
        <v>41</v>
      </c>
      <c r="BQ31" s="15">
        <f t="shared" si="80"/>
        <v>0.56944444444444442</v>
      </c>
      <c r="BR31" s="13">
        <f>'[2]Oct-Dec''25'!BT31+'[2]Apr-Sep''25'!BT31</f>
        <v>52</v>
      </c>
      <c r="BS31" s="13">
        <f>'[2]Oct-Dec''25'!BU31+'[2]Apr-Sep''25'!BU31</f>
        <v>26</v>
      </c>
      <c r="BT31" s="14">
        <f t="shared" si="81"/>
        <v>0.5</v>
      </c>
      <c r="BU31" s="13">
        <f>'[2]Oct-Dec''25'!BW31+'[2]Apr-Sep''25'!BW31</f>
        <v>1</v>
      </c>
      <c r="BV31" s="13">
        <f>'[2]Oct-Dec''25'!BX31+'[2]Apr-Sep''25'!BX31</f>
        <v>1</v>
      </c>
      <c r="BW31" s="14">
        <f t="shared" si="82"/>
        <v>1</v>
      </c>
      <c r="BX31" s="13">
        <f>'[2]Oct-Dec''25'!BZ31+'[2]Apr-Sep''25'!BZ31</f>
        <v>961</v>
      </c>
      <c r="BY31" s="13">
        <f>'[2]Oct-Dec''25'!CA31+'[2]Apr-Sep''25'!CA31</f>
        <v>929</v>
      </c>
      <c r="BZ31" s="14">
        <f t="shared" si="83"/>
        <v>0.96670135275754421</v>
      </c>
      <c r="CA31" s="13">
        <f>'[2]Oct-Dec''25'!CC31+'[2]Apr-Sep''25'!CC31</f>
        <v>109</v>
      </c>
      <c r="CB31" s="13">
        <f>'[2]Oct-Dec''25'!CD31+'[2]Apr-Sep''25'!CD31</f>
        <v>109</v>
      </c>
      <c r="CC31" s="14">
        <f t="shared" si="84"/>
        <v>1</v>
      </c>
      <c r="CD31" s="13">
        <f>'[2]Oct-Dec''25'!CF31+'[2]Apr-Sep''25'!CF31</f>
        <v>116</v>
      </c>
      <c r="CE31" s="13">
        <f>'[2]Oct-Dec''25'!CG31+'[2]Apr-Sep''25'!CG31</f>
        <v>116</v>
      </c>
      <c r="CF31" s="14">
        <f t="shared" si="85"/>
        <v>1</v>
      </c>
    </row>
    <row r="32" spans="1:84" x14ac:dyDescent="0.25">
      <c r="A32" s="12">
        <f>'[2]Oct-Dec''25'!A32</f>
        <v>26</v>
      </c>
      <c r="B32" s="12" t="str">
        <f>'[2]Oct-Dec''25'!B32</f>
        <v>CHRI</v>
      </c>
      <c r="C32" s="1" t="str">
        <f>'[2]Oct-Dec''25'!C32</f>
        <v>Nagaland</v>
      </c>
      <c r="D32" s="3" t="str">
        <f>'[2]Oct-Dec''25'!D32</f>
        <v>NNP+</v>
      </c>
      <c r="E32" s="1" t="str">
        <f>'[2]Oct-Dec''25'!E32</f>
        <v>DIMAPUR</v>
      </c>
      <c r="F32" s="12" t="s">
        <v>85</v>
      </c>
      <c r="G32" s="13">
        <f>'[2]Oct-Dec''25'!H32+'[2]Apr-Sep''25'!H32</f>
        <v>835</v>
      </c>
      <c r="H32" s="13">
        <f>'[2]Oct-Dec''25'!I32+'[2]Apr-Sep''25'!I32</f>
        <v>826</v>
      </c>
      <c r="I32" s="7">
        <f t="shared" si="59"/>
        <v>0.98922155688622759</v>
      </c>
      <c r="J32" s="13">
        <f>'[2]Oct-Dec''25'!K32+'[2]Apr-Sep''25'!K32</f>
        <v>0</v>
      </c>
      <c r="K32" s="13">
        <f>'[2]Oct-Dec''25'!L32+'[2]Apr-Sep''25'!L32</f>
        <v>0</v>
      </c>
      <c r="L32" s="7"/>
      <c r="M32" s="13">
        <f>'[2]Oct-Dec''25'!N32+'[2]Apr-Sep''25'!N32</f>
        <v>829</v>
      </c>
      <c r="N32" s="13">
        <f>'[2]Oct-Dec''25'!O32+'[2]Apr-Sep''25'!O32</f>
        <v>827</v>
      </c>
      <c r="O32" s="8">
        <f t="shared" si="60"/>
        <v>0.99758745476477684</v>
      </c>
      <c r="P32" s="13">
        <f>'[2]Oct-Dec''25'!Q32+'[2]Apr-Sep''25'!Q32</f>
        <v>765</v>
      </c>
      <c r="Q32" s="13">
        <f>'[2]Oct-Dec''25'!R32+'[2]Apr-Sep''25'!R32</f>
        <v>613</v>
      </c>
      <c r="R32" s="8">
        <f t="shared" si="61"/>
        <v>0.8013071895424837</v>
      </c>
      <c r="S32" s="13">
        <f>'[2]Oct-Dec''25'!T32+'[2]Apr-Sep''25'!T32</f>
        <v>4632</v>
      </c>
      <c r="T32" s="13">
        <f>'[2]Oct-Dec''25'!U32+'[2]Apr-Sep''25'!U32</f>
        <v>3293</v>
      </c>
      <c r="U32" s="8">
        <f t="shared" si="62"/>
        <v>0.71092400690846291</v>
      </c>
      <c r="V32" s="13">
        <f>'[2]Oct-Dec''25'!W32+'[2]Apr-Sep''25'!W32</f>
        <v>1901</v>
      </c>
      <c r="W32" s="13">
        <f>'[2]Oct-Dec''25'!Y32+'[2]Apr-Sep''25'!Y32</f>
        <v>1030</v>
      </c>
      <c r="X32" s="8">
        <f t="shared" si="63"/>
        <v>0.54182009468700687</v>
      </c>
      <c r="Y32" s="13">
        <f>'[2]Oct-Dec''25'!AA32+'[2]Apr-Sep''25'!AA32</f>
        <v>510</v>
      </c>
      <c r="Z32" s="13">
        <f>'[2]Oct-Dec''25'!AB32+'[2]Apr-Sep''25'!AB32</f>
        <v>502</v>
      </c>
      <c r="AA32" s="8">
        <f t="shared" si="64"/>
        <v>0.98431372549019602</v>
      </c>
      <c r="AB32" s="13">
        <f>'[2]Oct-Dec''25'!AD32+'[2]Apr-Sep''25'!AD32</f>
        <v>656</v>
      </c>
      <c r="AC32" s="13">
        <f>'[2]Oct-Dec''25'!AE32+'[2]Apr-Sep''25'!AE32</f>
        <v>98</v>
      </c>
      <c r="AD32" s="8">
        <f t="shared" si="65"/>
        <v>0.14939024390243902</v>
      </c>
      <c r="AE32" s="13">
        <f>'[2]Oct-Dec''25'!AJ32+'[2]Apr-Sep''25'!AJ32</f>
        <v>4351</v>
      </c>
      <c r="AF32" s="13">
        <f>'[2]Oct-Dec''25'!AK32+'[2]Apr-Sep''25'!AK32</f>
        <v>2912</v>
      </c>
      <c r="AG32" s="8">
        <f t="shared" si="66"/>
        <v>0.66927143185474602</v>
      </c>
      <c r="AH32" s="13">
        <f>'[2]Oct-Dec''25'!AM32+'[2]Apr-Sep''25'!AM32</f>
        <v>8</v>
      </c>
      <c r="AI32" s="13">
        <f>'[2]Oct-Dec''25'!AN32+'[2]Apr-Sep''25'!AN32</f>
        <v>6</v>
      </c>
      <c r="AJ32" s="8">
        <f t="shared" si="67"/>
        <v>0.75</v>
      </c>
      <c r="AK32" s="13">
        <f>'[2]Oct-Dec''25'!AP32+'[2]Apr-Sep''25'!AP32</f>
        <v>166</v>
      </c>
      <c r="AL32" s="13">
        <f>'[2]Oct-Dec''25'!AQ32+'[2]Apr-Sep''25'!AQ32</f>
        <v>74</v>
      </c>
      <c r="AM32" s="8">
        <f t="shared" si="68"/>
        <v>0.44578313253012047</v>
      </c>
      <c r="AN32" s="13">
        <f>'[2]Oct-Dec''25'!AS32+'[2]Apr-Sep''25'!AS32</f>
        <v>188</v>
      </c>
      <c r="AO32" s="13">
        <f>'[2]Oct-Dec''25'!AT32+'[2]Apr-Sep''25'!AT32</f>
        <v>103</v>
      </c>
      <c r="AP32" s="8">
        <f t="shared" si="69"/>
        <v>0.5478723404255319</v>
      </c>
      <c r="AQ32" s="13">
        <f>'[2]Oct-Dec''25'!AV32+'[2]Apr-Sep''25'!AV32</f>
        <v>7</v>
      </c>
      <c r="AR32" s="13">
        <f>'[2]Oct-Dec''25'!AW32+'[2]Apr-Sep''25'!AW32</f>
        <v>4</v>
      </c>
      <c r="AS32" s="8">
        <f t="shared" si="70"/>
        <v>0.5714285714285714</v>
      </c>
      <c r="AT32" s="13">
        <f>'[2]Oct-Dec''25'!AY32+'[2]Apr-Sep''25'!AY32</f>
        <v>136</v>
      </c>
      <c r="AU32" s="13">
        <f>'[2]Oct-Dec''25'!AZ32+'[2]Apr-Sep''25'!AZ32</f>
        <v>123</v>
      </c>
      <c r="AV32" s="8">
        <f t="shared" si="71"/>
        <v>0.90441176470588236</v>
      </c>
      <c r="AW32" s="9">
        <f t="shared" si="72"/>
        <v>331</v>
      </c>
      <c r="AX32" s="9">
        <f t="shared" si="73"/>
        <v>230</v>
      </c>
      <c r="AY32" s="8">
        <f t="shared" si="74"/>
        <v>0.69486404833836857</v>
      </c>
      <c r="AZ32" s="13">
        <f>'[2]Oct-Dec''25'!BB32+'[2]Apr-Sep''25'!BB32</f>
        <v>127</v>
      </c>
      <c r="BA32" s="13">
        <f>'[2]Oct-Dec''25'!BC32+'[2]Apr-Sep''25'!BC32</f>
        <v>91</v>
      </c>
      <c r="BB32" s="14">
        <f t="shared" si="75"/>
        <v>0.71653543307086609</v>
      </c>
      <c r="BC32" s="13">
        <f>'[2]Oct-Dec''25'!BE32+'[2]Apr-Sep''25'!BE32</f>
        <v>39</v>
      </c>
      <c r="BD32" s="13">
        <f>'[2]Oct-Dec''25'!BF32+'[2]Apr-Sep''25'!BF32</f>
        <v>39</v>
      </c>
      <c r="BE32" s="14">
        <f t="shared" si="76"/>
        <v>1</v>
      </c>
      <c r="BF32" s="13">
        <f>'[2]Oct-Dec''25'!BH32+'[2]Apr-Sep''25'!BH32</f>
        <v>51</v>
      </c>
      <c r="BG32" s="13">
        <f>'[2]Oct-Dec''25'!BI32+'[2]Apr-Sep''25'!BI32</f>
        <v>49</v>
      </c>
      <c r="BH32" s="14">
        <f t="shared" si="77"/>
        <v>0.96078431372549022</v>
      </c>
      <c r="BI32" s="13">
        <f>'[2]Oct-Dec''25'!BK32+'[2]Apr-Sep''25'!BK32</f>
        <v>45</v>
      </c>
      <c r="BJ32" s="13">
        <f>'[2]Oct-Dec''25'!BL32+'[2]Apr-Sep''25'!BL32</f>
        <v>45</v>
      </c>
      <c r="BK32" s="15">
        <f t="shared" si="78"/>
        <v>1</v>
      </c>
      <c r="BL32" s="13">
        <f>'[2]Oct-Dec''25'!BN32+'[2]Apr-Sep''25'!BN32</f>
        <v>29</v>
      </c>
      <c r="BM32" s="13">
        <f>'[2]Oct-Dec''25'!BO32+'[2]Apr-Sep''25'!BO32</f>
        <v>29</v>
      </c>
      <c r="BN32" s="15">
        <f t="shared" si="79"/>
        <v>1</v>
      </c>
      <c r="BO32" s="13">
        <f>'[2]Oct-Dec''25'!BQ32+'[2]Apr-Sep''25'!BQ32</f>
        <v>22</v>
      </c>
      <c r="BP32" s="13">
        <f>'[2]Oct-Dec''25'!BR32+'[2]Apr-Sep''25'!BR32</f>
        <v>22</v>
      </c>
      <c r="BQ32" s="15">
        <f t="shared" si="80"/>
        <v>1</v>
      </c>
      <c r="BR32" s="13">
        <f>'[2]Oct-Dec''25'!BT32+'[2]Apr-Sep''25'!BT32</f>
        <v>15</v>
      </c>
      <c r="BS32" s="13">
        <f>'[2]Oct-Dec''25'!BU32+'[2]Apr-Sep''25'!BU32</f>
        <v>12</v>
      </c>
      <c r="BT32" s="14">
        <f t="shared" si="81"/>
        <v>0.8</v>
      </c>
      <c r="BU32" s="13">
        <f>'[2]Oct-Dec''25'!BW32+'[2]Apr-Sep''25'!BW32</f>
        <v>0</v>
      </c>
      <c r="BV32" s="13">
        <f>'[2]Oct-Dec''25'!BX32+'[2]Apr-Sep''25'!BX32</f>
        <v>0</v>
      </c>
      <c r="BW32" s="14">
        <f t="shared" si="82"/>
        <v>0</v>
      </c>
      <c r="BX32" s="13">
        <f>'[2]Oct-Dec''25'!BZ32+'[2]Apr-Sep''25'!BZ32</f>
        <v>826</v>
      </c>
      <c r="BY32" s="13">
        <f>'[2]Oct-Dec''25'!CA32+'[2]Apr-Sep''25'!CA32</f>
        <v>697</v>
      </c>
      <c r="BZ32" s="14">
        <f t="shared" si="83"/>
        <v>0.8438256658595642</v>
      </c>
      <c r="CA32" s="13">
        <f>'[2]Oct-Dec''25'!CC32+'[2]Apr-Sep''25'!CC32</f>
        <v>124</v>
      </c>
      <c r="CB32" s="13">
        <f>'[2]Oct-Dec''25'!CD32+'[2]Apr-Sep''25'!CD32</f>
        <v>137</v>
      </c>
      <c r="CC32" s="14">
        <f t="shared" si="84"/>
        <v>1.1048387096774193</v>
      </c>
      <c r="CD32" s="13">
        <f>'[2]Oct-Dec''25'!CF32+'[2]Apr-Sep''25'!CF32</f>
        <v>0</v>
      </c>
      <c r="CE32" s="13">
        <f>'[2]Oct-Dec''25'!CG32+'[2]Apr-Sep''25'!CG32</f>
        <v>0</v>
      </c>
      <c r="CF32" s="14">
        <f t="shared" si="85"/>
        <v>0</v>
      </c>
    </row>
    <row r="33" spans="1:84" ht="48" x14ac:dyDescent="0.25">
      <c r="A33" s="12">
        <f>'[2]Oct-Dec''25'!A33</f>
        <v>27</v>
      </c>
      <c r="B33" s="12" t="str">
        <f>'[2]Oct-Dec''25'!B33</f>
        <v>CHRI</v>
      </c>
      <c r="C33" s="1" t="str">
        <f>'[2]Oct-Dec''25'!C33</f>
        <v>Nagaland</v>
      </c>
      <c r="D33" s="3" t="str">
        <f>'[2]Oct-Dec''25'!D33</f>
        <v>NETWORK OF KOHIMA DISTRICT PEOPLE LIVING WITH HIV/AIDS(KNP+)</v>
      </c>
      <c r="E33" s="1" t="str">
        <f>'[2]Oct-Dec''25'!E33</f>
        <v>KOHIMA</v>
      </c>
      <c r="F33" s="12" t="s">
        <v>85</v>
      </c>
      <c r="G33" s="13">
        <f>'[2]Oct-Dec''25'!H33+'[2]Apr-Sep''25'!H33</f>
        <v>384</v>
      </c>
      <c r="H33" s="13">
        <f>'[2]Oct-Dec''25'!I33+'[2]Apr-Sep''25'!I33</f>
        <v>412</v>
      </c>
      <c r="I33" s="7">
        <f t="shared" si="59"/>
        <v>1.0729166666666667</v>
      </c>
      <c r="J33" s="13">
        <f>'[2]Oct-Dec''25'!K33+'[2]Apr-Sep''25'!K33</f>
        <v>0</v>
      </c>
      <c r="K33" s="13">
        <f>'[2]Oct-Dec''25'!L33+'[2]Apr-Sep''25'!L33</f>
        <v>0</v>
      </c>
      <c r="L33" s="7"/>
      <c r="M33" s="13">
        <f>'[2]Oct-Dec''25'!N33+'[2]Apr-Sep''25'!N33</f>
        <v>456</v>
      </c>
      <c r="N33" s="13">
        <f>'[2]Oct-Dec''25'!O33+'[2]Apr-Sep''25'!O33</f>
        <v>456</v>
      </c>
      <c r="O33" s="8">
        <f t="shared" si="60"/>
        <v>1</v>
      </c>
      <c r="P33" s="13">
        <f>'[2]Oct-Dec''25'!Q33+'[2]Apr-Sep''25'!Q33</f>
        <v>343</v>
      </c>
      <c r="Q33" s="13">
        <f>'[2]Oct-Dec''25'!R33+'[2]Apr-Sep''25'!R33</f>
        <v>290</v>
      </c>
      <c r="R33" s="8">
        <f t="shared" si="61"/>
        <v>0.84548104956268222</v>
      </c>
      <c r="S33" s="13">
        <f>'[2]Oct-Dec''25'!T33+'[2]Apr-Sep''25'!T33</f>
        <v>1640</v>
      </c>
      <c r="T33" s="13">
        <f>'[2]Oct-Dec''25'!U33+'[2]Apr-Sep''25'!U33</f>
        <v>1187</v>
      </c>
      <c r="U33" s="8">
        <f t="shared" si="62"/>
        <v>0.72378048780487803</v>
      </c>
      <c r="V33" s="13">
        <f>'[2]Oct-Dec''25'!W33+'[2]Apr-Sep''25'!W33</f>
        <v>517</v>
      </c>
      <c r="W33" s="13">
        <f>'[2]Oct-Dec''25'!Y33+'[2]Apr-Sep''25'!Y33</f>
        <v>309</v>
      </c>
      <c r="X33" s="8">
        <f t="shared" si="63"/>
        <v>0.59767891682785301</v>
      </c>
      <c r="Y33" s="13">
        <f>'[2]Oct-Dec''25'!AA33+'[2]Apr-Sep''25'!AA33</f>
        <v>163</v>
      </c>
      <c r="Z33" s="13">
        <f>'[2]Oct-Dec''25'!AB33+'[2]Apr-Sep''25'!AB33</f>
        <v>163</v>
      </c>
      <c r="AA33" s="8">
        <f t="shared" si="64"/>
        <v>1</v>
      </c>
      <c r="AB33" s="13">
        <f>'[2]Oct-Dec''25'!AD33+'[2]Apr-Sep''25'!AD33</f>
        <v>179</v>
      </c>
      <c r="AC33" s="13">
        <f>'[2]Oct-Dec''25'!AE33+'[2]Apr-Sep''25'!AE33</f>
        <v>69</v>
      </c>
      <c r="AD33" s="8">
        <f t="shared" si="65"/>
        <v>0.38547486033519551</v>
      </c>
      <c r="AE33" s="13">
        <f>'[2]Oct-Dec''25'!AJ33+'[2]Apr-Sep''25'!AJ33</f>
        <v>2645</v>
      </c>
      <c r="AF33" s="13">
        <f>'[2]Oct-Dec''25'!AK33+'[2]Apr-Sep''25'!AK33</f>
        <v>2157</v>
      </c>
      <c r="AG33" s="8">
        <f t="shared" si="66"/>
        <v>0.81550094517958416</v>
      </c>
      <c r="AH33" s="13">
        <f>'[2]Oct-Dec''25'!AM33+'[2]Apr-Sep''25'!AM33</f>
        <v>0</v>
      </c>
      <c r="AI33" s="13">
        <f>'[2]Oct-Dec''25'!AN33+'[2]Apr-Sep''25'!AN33</f>
        <v>0</v>
      </c>
      <c r="AJ33" s="8" t="e">
        <f t="shared" si="67"/>
        <v>#DIV/0!</v>
      </c>
      <c r="AK33" s="13">
        <f>'[2]Oct-Dec''25'!AP33+'[2]Apr-Sep''25'!AP33</f>
        <v>79</v>
      </c>
      <c r="AL33" s="13">
        <f>'[2]Oct-Dec''25'!AQ33+'[2]Apr-Sep''25'!AQ33</f>
        <v>21</v>
      </c>
      <c r="AM33" s="8">
        <f t="shared" si="68"/>
        <v>0.26582278481012656</v>
      </c>
      <c r="AN33" s="13">
        <f>'[2]Oct-Dec''25'!AS33+'[2]Apr-Sep''25'!AS33</f>
        <v>32</v>
      </c>
      <c r="AO33" s="13">
        <f>'[2]Oct-Dec''25'!AT33+'[2]Apr-Sep''25'!AT33</f>
        <v>1</v>
      </c>
      <c r="AP33" s="8">
        <f t="shared" si="69"/>
        <v>3.125E-2</v>
      </c>
      <c r="AQ33" s="13">
        <f>'[2]Oct-Dec''25'!AV33+'[2]Apr-Sep''25'!AV33</f>
        <v>2</v>
      </c>
      <c r="AR33" s="13">
        <f>'[2]Oct-Dec''25'!AW33+'[2]Apr-Sep''25'!AW33</f>
        <v>0</v>
      </c>
      <c r="AS33" s="8">
        <f t="shared" si="70"/>
        <v>0</v>
      </c>
      <c r="AT33" s="13">
        <f>'[2]Oct-Dec''25'!AY33+'[2]Apr-Sep''25'!AY33</f>
        <v>68</v>
      </c>
      <c r="AU33" s="13">
        <f>'[2]Oct-Dec''25'!AZ33+'[2]Apr-Sep''25'!AZ33</f>
        <v>1</v>
      </c>
      <c r="AV33" s="8">
        <f t="shared" si="71"/>
        <v>1.4705882352941176E-2</v>
      </c>
      <c r="AW33" s="9">
        <f t="shared" si="72"/>
        <v>102</v>
      </c>
      <c r="AX33" s="9">
        <f t="shared" si="73"/>
        <v>2</v>
      </c>
      <c r="AY33" s="8">
        <f t="shared" si="74"/>
        <v>1.9607843137254902E-2</v>
      </c>
      <c r="AZ33" s="13">
        <f>'[2]Oct-Dec''25'!BB33+'[2]Apr-Sep''25'!BB33</f>
        <v>580</v>
      </c>
      <c r="BA33" s="13">
        <f>'[2]Oct-Dec''25'!BC33+'[2]Apr-Sep''25'!BC33</f>
        <v>77</v>
      </c>
      <c r="BB33" s="14">
        <f t="shared" si="75"/>
        <v>0.13275862068965516</v>
      </c>
      <c r="BC33" s="13">
        <f>'[2]Oct-Dec''25'!BE33+'[2]Apr-Sep''25'!BE33</f>
        <v>18</v>
      </c>
      <c r="BD33" s="13">
        <f>'[2]Oct-Dec''25'!BF33+'[2]Apr-Sep''25'!BF33</f>
        <v>18</v>
      </c>
      <c r="BE33" s="14">
        <f t="shared" si="76"/>
        <v>1</v>
      </c>
      <c r="BF33" s="13">
        <f>'[2]Oct-Dec''25'!BH33+'[2]Apr-Sep''25'!BH33</f>
        <v>29</v>
      </c>
      <c r="BG33" s="13">
        <f>'[2]Oct-Dec''25'!BI33+'[2]Apr-Sep''25'!BI33</f>
        <v>28</v>
      </c>
      <c r="BH33" s="14">
        <f t="shared" si="77"/>
        <v>0.96551724137931039</v>
      </c>
      <c r="BI33" s="13">
        <f>'[2]Oct-Dec''25'!BK33+'[2]Apr-Sep''25'!BK33</f>
        <v>40</v>
      </c>
      <c r="BJ33" s="13">
        <f>'[2]Oct-Dec''25'!BL33+'[2]Apr-Sep''25'!BL33</f>
        <v>39</v>
      </c>
      <c r="BK33" s="15">
        <f t="shared" si="78"/>
        <v>0.97499999999999998</v>
      </c>
      <c r="BL33" s="13">
        <f>'[2]Oct-Dec''25'!BN33+'[2]Apr-Sep''25'!BN33</f>
        <v>26</v>
      </c>
      <c r="BM33" s="13">
        <f>'[2]Oct-Dec''25'!BO33+'[2]Apr-Sep''25'!BO33</f>
        <v>26</v>
      </c>
      <c r="BN33" s="15">
        <f t="shared" si="79"/>
        <v>1</v>
      </c>
      <c r="BO33" s="13">
        <f>'[2]Oct-Dec''25'!BQ33+'[2]Apr-Sep''25'!BQ33</f>
        <v>21</v>
      </c>
      <c r="BP33" s="13">
        <f>'[2]Oct-Dec''25'!BR33+'[2]Apr-Sep''25'!BR33</f>
        <v>21</v>
      </c>
      <c r="BQ33" s="15">
        <f t="shared" si="80"/>
        <v>1</v>
      </c>
      <c r="BR33" s="13">
        <f>'[2]Oct-Dec''25'!BT33+'[2]Apr-Sep''25'!BT33</f>
        <v>35</v>
      </c>
      <c r="BS33" s="13">
        <f>'[2]Oct-Dec''25'!BU33+'[2]Apr-Sep''25'!BU33</f>
        <v>35</v>
      </c>
      <c r="BT33" s="14">
        <f t="shared" si="81"/>
        <v>1</v>
      </c>
      <c r="BU33" s="13">
        <f>'[2]Oct-Dec''25'!BW33+'[2]Apr-Sep''25'!BW33</f>
        <v>0</v>
      </c>
      <c r="BV33" s="13">
        <f>'[2]Oct-Dec''25'!BX33+'[2]Apr-Sep''25'!BX33</f>
        <v>0</v>
      </c>
      <c r="BW33" s="14">
        <f t="shared" si="82"/>
        <v>0</v>
      </c>
      <c r="BX33" s="13">
        <f>'[2]Oct-Dec''25'!BZ33+'[2]Apr-Sep''25'!BZ33</f>
        <v>412</v>
      </c>
      <c r="BY33" s="13">
        <f>'[2]Oct-Dec''25'!CA33+'[2]Apr-Sep''25'!CA33</f>
        <v>416</v>
      </c>
      <c r="BZ33" s="14">
        <f t="shared" si="83"/>
        <v>1.0097087378640777</v>
      </c>
      <c r="CA33" s="13">
        <f>'[2]Oct-Dec''25'!CC33+'[2]Apr-Sep''25'!CC33</f>
        <v>16</v>
      </c>
      <c r="CB33" s="13">
        <f>'[2]Oct-Dec''25'!CD33+'[2]Apr-Sep''25'!CD33</f>
        <v>22</v>
      </c>
      <c r="CC33" s="14">
        <f t="shared" si="84"/>
        <v>1.375</v>
      </c>
      <c r="CD33" s="13">
        <f>'[2]Oct-Dec''25'!CF33+'[2]Apr-Sep''25'!CF33</f>
        <v>7</v>
      </c>
      <c r="CE33" s="13">
        <f>'[2]Oct-Dec''25'!CG33+'[2]Apr-Sep''25'!CG33</f>
        <v>7</v>
      </c>
      <c r="CF33" s="14">
        <f t="shared" si="85"/>
        <v>1</v>
      </c>
    </row>
    <row r="34" spans="1:84" x14ac:dyDescent="0.25">
      <c r="A34" s="12">
        <f>'[2]Oct-Dec''25'!A34</f>
        <v>28</v>
      </c>
      <c r="B34" s="12" t="str">
        <f>'[2]Oct-Dec''25'!B34</f>
        <v>CHRI</v>
      </c>
      <c r="C34" s="1" t="str">
        <f>'[2]Oct-Dec''25'!C34</f>
        <v>Nagaland</v>
      </c>
      <c r="D34" s="3" t="str">
        <f>'[2]Oct-Dec''25'!D34</f>
        <v>TUENSANG</v>
      </c>
      <c r="E34" s="1" t="e">
        <f>'[2]Oct-Dec''25'!E34</f>
        <v>#REF!</v>
      </c>
      <c r="F34" s="12" t="s">
        <v>85</v>
      </c>
      <c r="G34" s="13">
        <f>'[2]Oct-Dec''25'!H34+'[2]Apr-Sep''25'!H34</f>
        <v>247</v>
      </c>
      <c r="H34" s="13">
        <f>'[2]Oct-Dec''25'!I34+'[2]Apr-Sep''25'!I34</f>
        <v>199</v>
      </c>
      <c r="I34" s="7">
        <f t="shared" si="59"/>
        <v>0.80566801619433204</v>
      </c>
      <c r="J34" s="13">
        <f>'[2]Oct-Dec''25'!K34+'[2]Apr-Sep''25'!K34</f>
        <v>1</v>
      </c>
      <c r="K34" s="13">
        <f>'[2]Oct-Dec''25'!L34+'[2]Apr-Sep''25'!L34</f>
        <v>0</v>
      </c>
      <c r="L34" s="7">
        <f>K34/J34</f>
        <v>0</v>
      </c>
      <c r="M34" s="13">
        <f>'[2]Oct-Dec''25'!N34+'[2]Apr-Sep''25'!N34</f>
        <v>362</v>
      </c>
      <c r="N34" s="13">
        <f>'[2]Oct-Dec''25'!O34+'[2]Apr-Sep''25'!O34</f>
        <v>359</v>
      </c>
      <c r="O34" s="8">
        <f t="shared" si="60"/>
        <v>0.99171270718232041</v>
      </c>
      <c r="P34" s="13">
        <f>'[2]Oct-Dec''25'!Q34+'[2]Apr-Sep''25'!Q34</f>
        <v>339</v>
      </c>
      <c r="Q34" s="13">
        <f>'[2]Oct-Dec''25'!R34+'[2]Apr-Sep''25'!R34</f>
        <v>287</v>
      </c>
      <c r="R34" s="8">
        <f t="shared" si="61"/>
        <v>0.84660766961651912</v>
      </c>
      <c r="S34" s="13">
        <f>'[2]Oct-Dec''25'!T34+'[2]Apr-Sep''25'!T34</f>
        <v>2302</v>
      </c>
      <c r="T34" s="13">
        <f>'[2]Oct-Dec''25'!U34+'[2]Apr-Sep''25'!U34</f>
        <v>1916</v>
      </c>
      <c r="U34" s="8">
        <f t="shared" si="62"/>
        <v>0.83231972198088622</v>
      </c>
      <c r="V34" s="13">
        <f>'[2]Oct-Dec''25'!W34+'[2]Apr-Sep''25'!W34</f>
        <v>260</v>
      </c>
      <c r="W34" s="13">
        <f>'[2]Oct-Dec''25'!Y34+'[2]Apr-Sep''25'!Y34</f>
        <v>182</v>
      </c>
      <c r="X34" s="8">
        <f t="shared" si="63"/>
        <v>0.7</v>
      </c>
      <c r="Y34" s="13">
        <f>'[2]Oct-Dec''25'!AA34+'[2]Apr-Sep''25'!AA34</f>
        <v>398</v>
      </c>
      <c r="Z34" s="13">
        <f>'[2]Oct-Dec''25'!AB34+'[2]Apr-Sep''25'!AB34</f>
        <v>390</v>
      </c>
      <c r="AA34" s="8">
        <f t="shared" si="64"/>
        <v>0.97989949748743721</v>
      </c>
      <c r="AB34" s="13">
        <f>'[2]Oct-Dec''25'!AD34+'[2]Apr-Sep''25'!AD34</f>
        <v>322</v>
      </c>
      <c r="AC34" s="13">
        <f>'[2]Oct-Dec''25'!AE34+'[2]Apr-Sep''25'!AE34</f>
        <v>43</v>
      </c>
      <c r="AD34" s="8">
        <f t="shared" si="65"/>
        <v>0.13354037267080746</v>
      </c>
      <c r="AE34" s="13">
        <f>'[2]Oct-Dec''25'!AJ34+'[2]Apr-Sep''25'!AJ34</f>
        <v>1562</v>
      </c>
      <c r="AF34" s="13">
        <f>'[2]Oct-Dec''25'!AK34+'[2]Apr-Sep''25'!AK34</f>
        <v>1078</v>
      </c>
      <c r="AG34" s="8">
        <f t="shared" si="66"/>
        <v>0.6901408450704225</v>
      </c>
      <c r="AH34" s="13">
        <f>'[2]Oct-Dec''25'!AM34+'[2]Apr-Sep''25'!AM34</f>
        <v>0</v>
      </c>
      <c r="AI34" s="13">
        <f>'[2]Oct-Dec''25'!AN34+'[2]Apr-Sep''25'!AN34</f>
        <v>0</v>
      </c>
      <c r="AJ34" s="8" t="e">
        <f t="shared" si="67"/>
        <v>#DIV/0!</v>
      </c>
      <c r="AK34" s="13">
        <f>'[2]Oct-Dec''25'!AP34+'[2]Apr-Sep''25'!AP34</f>
        <v>79</v>
      </c>
      <c r="AL34" s="13">
        <f>'[2]Oct-Dec''25'!AQ34+'[2]Apr-Sep''25'!AQ34</f>
        <v>64</v>
      </c>
      <c r="AM34" s="8">
        <f t="shared" si="68"/>
        <v>0.810126582278481</v>
      </c>
      <c r="AN34" s="13">
        <f>'[2]Oct-Dec''25'!AS34+'[2]Apr-Sep''25'!AS34</f>
        <v>56</v>
      </c>
      <c r="AO34" s="13">
        <f>'[2]Oct-Dec''25'!AT34+'[2]Apr-Sep''25'!AT34</f>
        <v>39</v>
      </c>
      <c r="AP34" s="8">
        <f t="shared" si="69"/>
        <v>0.6964285714285714</v>
      </c>
      <c r="AQ34" s="13">
        <f>'[2]Oct-Dec''25'!AV34+'[2]Apr-Sep''25'!AV34</f>
        <v>0</v>
      </c>
      <c r="AR34" s="13">
        <f>'[2]Oct-Dec''25'!AW34+'[2]Apr-Sep''25'!AW34</f>
        <v>0</v>
      </c>
      <c r="AS34" s="8" t="e">
        <f t="shared" si="70"/>
        <v>#DIV/0!</v>
      </c>
      <c r="AT34" s="13">
        <f>'[2]Oct-Dec''25'!AY34+'[2]Apr-Sep''25'!AY34</f>
        <v>33</v>
      </c>
      <c r="AU34" s="13">
        <f>'[2]Oct-Dec''25'!AZ34+'[2]Apr-Sep''25'!AZ34</f>
        <v>28</v>
      </c>
      <c r="AV34" s="8">
        <f t="shared" si="71"/>
        <v>0.84848484848484851</v>
      </c>
      <c r="AW34" s="9">
        <f t="shared" si="72"/>
        <v>89</v>
      </c>
      <c r="AX34" s="9">
        <f t="shared" si="73"/>
        <v>67</v>
      </c>
      <c r="AY34" s="8">
        <f t="shared" si="74"/>
        <v>0.7528089887640449</v>
      </c>
      <c r="AZ34" s="13">
        <f>'[2]Oct-Dec''25'!BB34+'[2]Apr-Sep''25'!BB34</f>
        <v>365</v>
      </c>
      <c r="BA34" s="13">
        <f>'[2]Oct-Dec''25'!BC34+'[2]Apr-Sep''25'!BC34</f>
        <v>128</v>
      </c>
      <c r="BB34" s="14">
        <f t="shared" si="75"/>
        <v>0.35068493150684932</v>
      </c>
      <c r="BC34" s="13">
        <f>'[2]Oct-Dec''25'!BE34+'[2]Apr-Sep''25'!BE34</f>
        <v>8</v>
      </c>
      <c r="BD34" s="13">
        <f>'[2]Oct-Dec''25'!BF34+'[2]Apr-Sep''25'!BF34</f>
        <v>8</v>
      </c>
      <c r="BE34" s="14">
        <f t="shared" si="76"/>
        <v>1</v>
      </c>
      <c r="BF34" s="13">
        <f>'[2]Oct-Dec''25'!BH34+'[2]Apr-Sep''25'!BH34</f>
        <v>24</v>
      </c>
      <c r="BG34" s="13">
        <f>'[2]Oct-Dec''25'!BI34+'[2]Apr-Sep''25'!BI34</f>
        <v>24</v>
      </c>
      <c r="BH34" s="14">
        <f t="shared" si="77"/>
        <v>1</v>
      </c>
      <c r="BI34" s="13">
        <f>'[2]Oct-Dec''25'!BK34+'[2]Apr-Sep''25'!BK34</f>
        <v>24</v>
      </c>
      <c r="BJ34" s="13">
        <f>'[2]Oct-Dec''25'!BL34+'[2]Apr-Sep''25'!BL34</f>
        <v>24</v>
      </c>
      <c r="BK34" s="15">
        <f t="shared" si="78"/>
        <v>1</v>
      </c>
      <c r="BL34" s="13">
        <f>'[2]Oct-Dec''25'!BN34+'[2]Apr-Sep''25'!BN34</f>
        <v>25</v>
      </c>
      <c r="BM34" s="13">
        <f>'[2]Oct-Dec''25'!BO34+'[2]Apr-Sep''25'!BO34</f>
        <v>25</v>
      </c>
      <c r="BN34" s="15">
        <f t="shared" si="79"/>
        <v>1</v>
      </c>
      <c r="BO34" s="13">
        <f>'[2]Oct-Dec''25'!BQ34+'[2]Apr-Sep''25'!BQ34</f>
        <v>29</v>
      </c>
      <c r="BP34" s="13">
        <f>'[2]Oct-Dec''25'!BR34+'[2]Apr-Sep''25'!BR34</f>
        <v>29</v>
      </c>
      <c r="BQ34" s="15">
        <f t="shared" si="80"/>
        <v>1</v>
      </c>
      <c r="BR34" s="13">
        <f>'[2]Oct-Dec''25'!BT34+'[2]Apr-Sep''25'!BT34</f>
        <v>19</v>
      </c>
      <c r="BS34" s="13">
        <f>'[2]Oct-Dec''25'!BU34+'[2]Apr-Sep''25'!BU34</f>
        <v>19</v>
      </c>
      <c r="BT34" s="14">
        <f t="shared" si="81"/>
        <v>1</v>
      </c>
      <c r="BU34" s="13">
        <f>'[2]Oct-Dec''25'!BW34+'[2]Apr-Sep''25'!BW34</f>
        <v>1</v>
      </c>
      <c r="BV34" s="13">
        <f>'[2]Oct-Dec''25'!BX34+'[2]Apr-Sep''25'!BX34</f>
        <v>1</v>
      </c>
      <c r="BW34" s="14">
        <f t="shared" si="82"/>
        <v>1</v>
      </c>
      <c r="BX34" s="13">
        <f>'[2]Oct-Dec''25'!BZ34+'[2]Apr-Sep''25'!BZ34</f>
        <v>199</v>
      </c>
      <c r="BY34" s="13">
        <f>'[2]Oct-Dec''25'!CA34+'[2]Apr-Sep''25'!CA34</f>
        <v>348</v>
      </c>
      <c r="BZ34" s="14">
        <f t="shared" si="83"/>
        <v>1.7487437185929648</v>
      </c>
      <c r="CA34" s="13">
        <f>'[2]Oct-Dec''25'!CC34+'[2]Apr-Sep''25'!CC34</f>
        <v>26</v>
      </c>
      <c r="CB34" s="13">
        <f>'[2]Oct-Dec''25'!CD34+'[2]Apr-Sep''25'!CD34</f>
        <v>30</v>
      </c>
      <c r="CC34" s="14">
        <f t="shared" si="84"/>
        <v>1.1538461538461537</v>
      </c>
      <c r="CD34" s="13">
        <f>'[2]Oct-Dec''25'!CF34+'[2]Apr-Sep''25'!CF34</f>
        <v>0</v>
      </c>
      <c r="CE34" s="13">
        <f>'[2]Oct-Dec''25'!CG34+'[2]Apr-Sep''25'!CG34</f>
        <v>0</v>
      </c>
      <c r="CF34" s="14">
        <f t="shared" si="85"/>
        <v>0</v>
      </c>
    </row>
    <row r="35" spans="1:84" x14ac:dyDescent="0.25">
      <c r="A35" s="12">
        <f>'[2]Oct-Dec''25'!A35</f>
        <v>29</v>
      </c>
      <c r="B35" s="12" t="str">
        <f>'[2]Oct-Dec''25'!B35</f>
        <v>YRG Care</v>
      </c>
      <c r="C35" s="1" t="str">
        <f>'[2]Oct-Dec''25'!C35</f>
        <v>Odisha</v>
      </c>
      <c r="D35" s="3" t="str">
        <f>'[2]Oct-Dec''25'!D35</f>
        <v>KNP+</v>
      </c>
      <c r="E35" s="1" t="str">
        <f>'[2]Oct-Dec''25'!E35</f>
        <v>MAYURBHANJ</v>
      </c>
      <c r="F35" s="12" t="s">
        <v>85</v>
      </c>
      <c r="G35" s="13">
        <f>'[2]Oct-Dec''25'!H35+'[2]Apr-Sep''25'!H35</f>
        <v>105</v>
      </c>
      <c r="H35" s="13">
        <f>'[2]Oct-Dec''25'!I35+'[2]Apr-Sep''25'!I35</f>
        <v>342</v>
      </c>
      <c r="I35" s="7">
        <f t="shared" si="59"/>
        <v>3.2571428571428571</v>
      </c>
      <c r="J35" s="13">
        <f>'[2]Oct-Dec''25'!K35+'[2]Apr-Sep''25'!K35</f>
        <v>2</v>
      </c>
      <c r="K35" s="13">
        <f>'[2]Oct-Dec''25'!L35+'[2]Apr-Sep''25'!L35</f>
        <v>1</v>
      </c>
      <c r="L35" s="7">
        <f>K35/J35</f>
        <v>0.5</v>
      </c>
      <c r="M35" s="13">
        <f>'[2]Oct-Dec''25'!N35+'[2]Apr-Sep''25'!N35</f>
        <v>73</v>
      </c>
      <c r="N35" s="13">
        <f>'[2]Oct-Dec''25'!O35+'[2]Apr-Sep''25'!O35</f>
        <v>73</v>
      </c>
      <c r="O35" s="8">
        <f t="shared" si="60"/>
        <v>1</v>
      </c>
      <c r="P35" s="13">
        <f>'[2]Oct-Dec''25'!Q35+'[2]Apr-Sep''25'!Q35</f>
        <v>39</v>
      </c>
      <c r="Q35" s="13">
        <f>'[2]Oct-Dec''25'!R35+'[2]Apr-Sep''25'!R35</f>
        <v>33</v>
      </c>
      <c r="R35" s="8">
        <f t="shared" si="61"/>
        <v>0.84615384615384615</v>
      </c>
      <c r="S35" s="13">
        <f>'[2]Oct-Dec''25'!T35+'[2]Apr-Sep''25'!T35</f>
        <v>397</v>
      </c>
      <c r="T35" s="13">
        <f>'[2]Oct-Dec''25'!U35+'[2]Apr-Sep''25'!U35</f>
        <v>340</v>
      </c>
      <c r="U35" s="8">
        <f t="shared" si="62"/>
        <v>0.85642317380352639</v>
      </c>
      <c r="V35" s="13">
        <f>'[2]Oct-Dec''25'!W35+'[2]Apr-Sep''25'!W35</f>
        <v>239</v>
      </c>
      <c r="W35" s="13">
        <f>'[2]Oct-Dec''25'!Y35+'[2]Apr-Sep''25'!Y35</f>
        <v>208</v>
      </c>
      <c r="X35" s="8">
        <f t="shared" si="63"/>
        <v>0.87029288702928875</v>
      </c>
      <c r="Y35" s="13">
        <f>'[2]Oct-Dec''25'!AA35+'[2]Apr-Sep''25'!AA35</f>
        <v>0</v>
      </c>
      <c r="Z35" s="13">
        <f>'[2]Oct-Dec''25'!AB35+'[2]Apr-Sep''25'!AB35</f>
        <v>0</v>
      </c>
      <c r="AA35" s="8" t="e">
        <f t="shared" si="64"/>
        <v>#DIV/0!</v>
      </c>
      <c r="AB35" s="13">
        <f>'[2]Oct-Dec''25'!AD35+'[2]Apr-Sep''25'!AD35</f>
        <v>0</v>
      </c>
      <c r="AC35" s="13">
        <f>'[2]Oct-Dec''25'!AE35+'[2]Apr-Sep''25'!AE35</f>
        <v>0</v>
      </c>
      <c r="AD35" s="8" t="e">
        <f t="shared" si="65"/>
        <v>#DIV/0!</v>
      </c>
      <c r="AE35" s="13">
        <f>'[2]Oct-Dec''25'!AJ35+'[2]Apr-Sep''25'!AJ35</f>
        <v>430</v>
      </c>
      <c r="AF35" s="13">
        <f>'[2]Oct-Dec''25'!AK35+'[2]Apr-Sep''25'!AK35</f>
        <v>348</v>
      </c>
      <c r="AG35" s="8">
        <f t="shared" si="66"/>
        <v>0.80930232558139537</v>
      </c>
      <c r="AH35" s="13">
        <f>'[2]Oct-Dec''25'!AM35+'[2]Apr-Sep''25'!AM35</f>
        <v>0</v>
      </c>
      <c r="AI35" s="13">
        <f>'[2]Oct-Dec''25'!AN35+'[2]Apr-Sep''25'!AN35</f>
        <v>0</v>
      </c>
      <c r="AJ35" s="8" t="e">
        <f t="shared" si="67"/>
        <v>#DIV/0!</v>
      </c>
      <c r="AK35" s="13">
        <f>'[2]Oct-Dec''25'!AP35+'[2]Apr-Sep''25'!AP35</f>
        <v>59</v>
      </c>
      <c r="AL35" s="13">
        <f>'[2]Oct-Dec''25'!AQ35+'[2]Apr-Sep''25'!AQ35</f>
        <v>29</v>
      </c>
      <c r="AM35" s="8">
        <f t="shared" si="68"/>
        <v>0.49152542372881358</v>
      </c>
      <c r="AN35" s="13">
        <f>'[2]Oct-Dec''25'!AS35+'[2]Apr-Sep''25'!AS35</f>
        <v>28</v>
      </c>
      <c r="AO35" s="13">
        <f>'[2]Oct-Dec''25'!AT35+'[2]Apr-Sep''25'!AT35</f>
        <v>14</v>
      </c>
      <c r="AP35" s="8">
        <f t="shared" si="69"/>
        <v>0.5</v>
      </c>
      <c r="AQ35" s="13">
        <f>'[2]Oct-Dec''25'!AV35+'[2]Apr-Sep''25'!AV35</f>
        <v>1</v>
      </c>
      <c r="AR35" s="13">
        <f>'[2]Oct-Dec''25'!AW35+'[2]Apr-Sep''25'!AW35</f>
        <v>1</v>
      </c>
      <c r="AS35" s="8">
        <f t="shared" si="70"/>
        <v>1</v>
      </c>
      <c r="AT35" s="13">
        <f>'[2]Oct-Dec''25'!AY35+'[2]Apr-Sep''25'!AY35</f>
        <v>38</v>
      </c>
      <c r="AU35" s="13">
        <f>'[2]Oct-Dec''25'!AZ35+'[2]Apr-Sep''25'!AZ35</f>
        <v>29</v>
      </c>
      <c r="AV35" s="8">
        <f t="shared" si="71"/>
        <v>0.76315789473684215</v>
      </c>
      <c r="AW35" s="9">
        <f t="shared" si="72"/>
        <v>67</v>
      </c>
      <c r="AX35" s="9">
        <f t="shared" si="73"/>
        <v>44</v>
      </c>
      <c r="AY35" s="8">
        <f t="shared" si="74"/>
        <v>0.65671641791044777</v>
      </c>
      <c r="AZ35" s="13">
        <f>'[2]Oct-Dec''25'!BB35+'[2]Apr-Sep''25'!BB35</f>
        <v>35</v>
      </c>
      <c r="BA35" s="13">
        <f>'[2]Oct-Dec''25'!BC35+'[2]Apr-Sep''25'!BC35</f>
        <v>23</v>
      </c>
      <c r="BB35" s="14">
        <f t="shared" si="75"/>
        <v>0.65714285714285714</v>
      </c>
      <c r="BC35" s="13">
        <f>'[2]Oct-Dec''25'!BE35+'[2]Apr-Sep''25'!BE35</f>
        <v>6</v>
      </c>
      <c r="BD35" s="13">
        <f>'[2]Oct-Dec''25'!BF35+'[2]Apr-Sep''25'!BF35</f>
        <v>2</v>
      </c>
      <c r="BE35" s="14">
        <f t="shared" si="76"/>
        <v>0.33333333333333331</v>
      </c>
      <c r="BF35" s="13">
        <f>'[2]Oct-Dec''25'!BH35+'[2]Apr-Sep''25'!BH35</f>
        <v>3</v>
      </c>
      <c r="BG35" s="13">
        <f>'[2]Oct-Dec''25'!BI35+'[2]Apr-Sep''25'!BI35</f>
        <v>3</v>
      </c>
      <c r="BH35" s="14">
        <f t="shared" si="77"/>
        <v>1</v>
      </c>
      <c r="BI35" s="13">
        <f>'[2]Oct-Dec''25'!BK35+'[2]Apr-Sep''25'!BK35</f>
        <v>9</v>
      </c>
      <c r="BJ35" s="13">
        <f>'[2]Oct-Dec''25'!BL35+'[2]Apr-Sep''25'!BL35</f>
        <v>9</v>
      </c>
      <c r="BK35" s="15">
        <f t="shared" si="78"/>
        <v>1</v>
      </c>
      <c r="BL35" s="13">
        <f>'[2]Oct-Dec''25'!BN35+'[2]Apr-Sep''25'!BN35</f>
        <v>11</v>
      </c>
      <c r="BM35" s="13">
        <f>'[2]Oct-Dec''25'!BO35+'[2]Apr-Sep''25'!BO35</f>
        <v>8</v>
      </c>
      <c r="BN35" s="15">
        <f t="shared" si="79"/>
        <v>0.72727272727272729</v>
      </c>
      <c r="BO35" s="13">
        <f>'[2]Oct-Dec''25'!BQ35+'[2]Apr-Sep''25'!BQ35</f>
        <v>7</v>
      </c>
      <c r="BP35" s="13">
        <f>'[2]Oct-Dec''25'!BR35+'[2]Apr-Sep''25'!BR35</f>
        <v>6</v>
      </c>
      <c r="BQ35" s="15">
        <f t="shared" si="80"/>
        <v>0.8571428571428571</v>
      </c>
      <c r="BR35" s="13">
        <f>'[2]Oct-Dec''25'!BT35+'[2]Apr-Sep''25'!BT35</f>
        <v>11</v>
      </c>
      <c r="BS35" s="13">
        <f>'[2]Oct-Dec''25'!BU35+'[2]Apr-Sep''25'!BU35</f>
        <v>11</v>
      </c>
      <c r="BT35" s="14">
        <f t="shared" si="81"/>
        <v>1</v>
      </c>
      <c r="BU35" s="13">
        <f>'[2]Oct-Dec''25'!BW35+'[2]Apr-Sep''25'!BW35</f>
        <v>1</v>
      </c>
      <c r="BV35" s="13">
        <f>'[2]Oct-Dec''25'!BX35+'[2]Apr-Sep''25'!BX35</f>
        <v>1</v>
      </c>
      <c r="BW35" s="14">
        <f t="shared" si="82"/>
        <v>1</v>
      </c>
      <c r="BX35" s="13">
        <f>'[2]Oct-Dec''25'!BZ35+'[2]Apr-Sep''25'!BZ35</f>
        <v>342</v>
      </c>
      <c r="BY35" s="13">
        <f>'[2]Oct-Dec''25'!CA35+'[2]Apr-Sep''25'!CA35</f>
        <v>83</v>
      </c>
      <c r="BZ35" s="14">
        <f t="shared" si="83"/>
        <v>0.24269005847953215</v>
      </c>
      <c r="CA35" s="13">
        <f>'[2]Oct-Dec''25'!CC35+'[2]Apr-Sep''25'!CC35</f>
        <v>12</v>
      </c>
      <c r="CB35" s="13">
        <f>'[2]Oct-Dec''25'!CD35+'[2]Apr-Sep''25'!CD35</f>
        <v>12</v>
      </c>
      <c r="CC35" s="14">
        <f t="shared" si="84"/>
        <v>1</v>
      </c>
      <c r="CD35" s="13">
        <f>'[2]Oct-Dec''25'!CF35+'[2]Apr-Sep''25'!CF35</f>
        <v>0</v>
      </c>
      <c r="CE35" s="13">
        <f>'[2]Oct-Dec''25'!CG35+'[2]Apr-Sep''25'!CG35</f>
        <v>0</v>
      </c>
      <c r="CF35" s="14">
        <f t="shared" si="85"/>
        <v>0</v>
      </c>
    </row>
    <row r="36" spans="1:84" ht="36" x14ac:dyDescent="0.25">
      <c r="A36" s="12">
        <f>'[2]Oct-Dec''25'!A36</f>
        <v>30</v>
      </c>
      <c r="B36" s="12" t="str">
        <f>'[2]Oct-Dec''25'!B36</f>
        <v>YRG Care</v>
      </c>
      <c r="C36" s="1" t="str">
        <f>'[2]Oct-Dec''25'!C36</f>
        <v>Rajasthan</v>
      </c>
      <c r="D36" s="3" t="str">
        <f>'[2]Oct-Dec''25'!D36</f>
        <v>ALWAR NETWORK FOR PEOPLE LIVING WITH HIV/AIDS - ALWAR</v>
      </c>
      <c r="E36" s="1" t="str">
        <f>'[2]Oct-Dec''25'!E36</f>
        <v>ALWAR</v>
      </c>
      <c r="F36" s="12" t="s">
        <v>85</v>
      </c>
      <c r="G36" s="13">
        <f>'[2]Oct-Dec''25'!H36+'[2]Apr-Sep''25'!H36</f>
        <v>190</v>
      </c>
      <c r="H36" s="13">
        <f>'[2]Oct-Dec''25'!I36+'[2]Apr-Sep''25'!I36</f>
        <v>190</v>
      </c>
      <c r="I36" s="7">
        <f t="shared" si="59"/>
        <v>1</v>
      </c>
      <c r="J36" s="13">
        <f>'[2]Oct-Dec''25'!K36+'[2]Apr-Sep''25'!K36</f>
        <v>5</v>
      </c>
      <c r="K36" s="13">
        <f>'[2]Oct-Dec''25'!L36+'[2]Apr-Sep''25'!L36</f>
        <v>3</v>
      </c>
      <c r="L36" s="7">
        <f>K36/J36</f>
        <v>0.6</v>
      </c>
      <c r="M36" s="13">
        <f>'[2]Oct-Dec''25'!N36+'[2]Apr-Sep''25'!N36</f>
        <v>166</v>
      </c>
      <c r="N36" s="13">
        <f>'[2]Oct-Dec''25'!O36+'[2]Apr-Sep''25'!O36</f>
        <v>166</v>
      </c>
      <c r="O36" s="8">
        <f t="shared" si="60"/>
        <v>1</v>
      </c>
      <c r="P36" s="13">
        <f>'[2]Oct-Dec''25'!Q36+'[2]Apr-Sep''25'!Q36</f>
        <v>144</v>
      </c>
      <c r="Q36" s="13">
        <f>'[2]Oct-Dec''25'!R36+'[2]Apr-Sep''25'!R36</f>
        <v>126</v>
      </c>
      <c r="R36" s="8">
        <f t="shared" si="61"/>
        <v>0.875</v>
      </c>
      <c r="S36" s="13">
        <f>'[2]Oct-Dec''25'!T36+'[2]Apr-Sep''25'!T36</f>
        <v>1045</v>
      </c>
      <c r="T36" s="13">
        <f>'[2]Oct-Dec''25'!U36+'[2]Apr-Sep''25'!U36</f>
        <v>676</v>
      </c>
      <c r="U36" s="8">
        <f t="shared" si="62"/>
        <v>0.64688995215311007</v>
      </c>
      <c r="V36" s="13">
        <f>'[2]Oct-Dec''25'!W36+'[2]Apr-Sep''25'!W36</f>
        <v>390</v>
      </c>
      <c r="W36" s="13">
        <f>'[2]Oct-Dec''25'!Y36+'[2]Apr-Sep''25'!Y36</f>
        <v>276</v>
      </c>
      <c r="X36" s="8">
        <f t="shared" si="63"/>
        <v>0.70769230769230773</v>
      </c>
      <c r="Y36" s="13">
        <f>'[2]Oct-Dec''25'!AA36+'[2]Apr-Sep''25'!AA36</f>
        <v>214</v>
      </c>
      <c r="Z36" s="13">
        <f>'[2]Oct-Dec''25'!AB36+'[2]Apr-Sep''25'!AB36</f>
        <v>214</v>
      </c>
      <c r="AA36" s="8">
        <f t="shared" si="64"/>
        <v>1</v>
      </c>
      <c r="AB36" s="13">
        <f>'[2]Oct-Dec''25'!AD36+'[2]Apr-Sep''25'!AD36</f>
        <v>145</v>
      </c>
      <c r="AC36" s="13">
        <f>'[2]Oct-Dec''25'!AE36+'[2]Apr-Sep''25'!AE36</f>
        <v>26</v>
      </c>
      <c r="AD36" s="8">
        <f t="shared" si="65"/>
        <v>0.1793103448275862</v>
      </c>
      <c r="AE36" s="13">
        <f>'[2]Oct-Dec''25'!AJ36+'[2]Apr-Sep''25'!AJ36</f>
        <v>213</v>
      </c>
      <c r="AF36" s="13">
        <f>'[2]Oct-Dec''25'!AK36+'[2]Apr-Sep''25'!AK36</f>
        <v>209</v>
      </c>
      <c r="AG36" s="8">
        <f t="shared" si="66"/>
        <v>0.98122065727699526</v>
      </c>
      <c r="AH36" s="13">
        <f>'[2]Oct-Dec''25'!AM36+'[2]Apr-Sep''25'!AM36</f>
        <v>0</v>
      </c>
      <c r="AI36" s="13">
        <f>'[2]Oct-Dec''25'!AN36+'[2]Apr-Sep''25'!AN36</f>
        <v>0</v>
      </c>
      <c r="AJ36" s="8" t="e">
        <f t="shared" si="67"/>
        <v>#DIV/0!</v>
      </c>
      <c r="AK36" s="13">
        <f>'[2]Oct-Dec''25'!AP36+'[2]Apr-Sep''25'!AP36</f>
        <v>0</v>
      </c>
      <c r="AL36" s="13">
        <f>'[2]Oct-Dec''25'!AQ36+'[2]Apr-Sep''25'!AQ36</f>
        <v>0</v>
      </c>
      <c r="AM36" s="8" t="e">
        <f t="shared" si="68"/>
        <v>#DIV/0!</v>
      </c>
      <c r="AN36" s="13">
        <f>'[2]Oct-Dec''25'!AS36+'[2]Apr-Sep''25'!AS36</f>
        <v>4</v>
      </c>
      <c r="AO36" s="13">
        <f>'[2]Oct-Dec''25'!AT36+'[2]Apr-Sep''25'!AT36</f>
        <v>4</v>
      </c>
      <c r="AP36" s="8">
        <f t="shared" si="69"/>
        <v>1</v>
      </c>
      <c r="AQ36" s="13">
        <f>'[2]Oct-Dec''25'!AV36+'[2]Apr-Sep''25'!AV36</f>
        <v>0</v>
      </c>
      <c r="AR36" s="13">
        <f>'[2]Oct-Dec''25'!AW36+'[2]Apr-Sep''25'!AW36</f>
        <v>0</v>
      </c>
      <c r="AS36" s="8" t="e">
        <f t="shared" si="70"/>
        <v>#DIV/0!</v>
      </c>
      <c r="AT36" s="13">
        <f>'[2]Oct-Dec''25'!AY36+'[2]Apr-Sep''25'!AY36</f>
        <v>1</v>
      </c>
      <c r="AU36" s="13">
        <f>'[2]Oct-Dec''25'!AZ36+'[2]Apr-Sep''25'!AZ36</f>
        <v>1</v>
      </c>
      <c r="AV36" s="8">
        <f t="shared" si="71"/>
        <v>1</v>
      </c>
      <c r="AW36" s="9">
        <f t="shared" si="72"/>
        <v>5</v>
      </c>
      <c r="AX36" s="9">
        <f t="shared" si="73"/>
        <v>5</v>
      </c>
      <c r="AY36" s="8">
        <f t="shared" si="74"/>
        <v>1</v>
      </c>
      <c r="AZ36" s="13">
        <f>'[2]Oct-Dec''25'!BB36+'[2]Apr-Sep''25'!BB36</f>
        <v>25</v>
      </c>
      <c r="BA36" s="13">
        <f>'[2]Oct-Dec''25'!BC36+'[2]Apr-Sep''25'!BC36</f>
        <v>73</v>
      </c>
      <c r="BB36" s="14">
        <f t="shared" si="75"/>
        <v>2.92</v>
      </c>
      <c r="BC36" s="13">
        <f>'[2]Oct-Dec''25'!BE36+'[2]Apr-Sep''25'!BE36</f>
        <v>1</v>
      </c>
      <c r="BD36" s="13">
        <f>'[2]Oct-Dec''25'!BF36+'[2]Apr-Sep''25'!BF36</f>
        <v>1</v>
      </c>
      <c r="BE36" s="14">
        <f t="shared" si="76"/>
        <v>1</v>
      </c>
      <c r="BF36" s="13">
        <f>'[2]Oct-Dec''25'!BH36+'[2]Apr-Sep''25'!BH36</f>
        <v>0</v>
      </c>
      <c r="BG36" s="13">
        <f>'[2]Oct-Dec''25'!BI36+'[2]Apr-Sep''25'!BI36</f>
        <v>0</v>
      </c>
      <c r="BH36" s="14">
        <f t="shared" si="77"/>
        <v>0</v>
      </c>
      <c r="BI36" s="13">
        <f>'[2]Oct-Dec''25'!BK36+'[2]Apr-Sep''25'!BK36</f>
        <v>7</v>
      </c>
      <c r="BJ36" s="13">
        <f>'[2]Oct-Dec''25'!BL36+'[2]Apr-Sep''25'!BL36</f>
        <v>5</v>
      </c>
      <c r="BK36" s="15">
        <f t="shared" si="78"/>
        <v>0.7142857142857143</v>
      </c>
      <c r="BL36" s="13">
        <f>'[2]Oct-Dec''25'!BN36+'[2]Apr-Sep''25'!BN36</f>
        <v>3</v>
      </c>
      <c r="BM36" s="13">
        <f>'[2]Oct-Dec''25'!BO36+'[2]Apr-Sep''25'!BO36</f>
        <v>3</v>
      </c>
      <c r="BN36" s="15">
        <f t="shared" si="79"/>
        <v>1</v>
      </c>
      <c r="BO36" s="13">
        <f>'[2]Oct-Dec''25'!BQ36+'[2]Apr-Sep''25'!BQ36</f>
        <v>0</v>
      </c>
      <c r="BP36" s="13">
        <f>'[2]Oct-Dec''25'!BR36+'[2]Apr-Sep''25'!BR36</f>
        <v>0</v>
      </c>
      <c r="BQ36" s="15">
        <f t="shared" si="80"/>
        <v>0</v>
      </c>
      <c r="BR36" s="13">
        <f>'[2]Oct-Dec''25'!BT36+'[2]Apr-Sep''25'!BT36</f>
        <v>0</v>
      </c>
      <c r="BS36" s="13">
        <f>'[2]Oct-Dec''25'!BU36+'[2]Apr-Sep''25'!BU36</f>
        <v>0</v>
      </c>
      <c r="BT36" s="14">
        <f t="shared" si="81"/>
        <v>0</v>
      </c>
      <c r="BU36" s="13">
        <f>'[2]Oct-Dec''25'!BW36+'[2]Apr-Sep''25'!BW36</f>
        <v>0</v>
      </c>
      <c r="BV36" s="13">
        <f>'[2]Oct-Dec''25'!BX36+'[2]Apr-Sep''25'!BX36</f>
        <v>0</v>
      </c>
      <c r="BW36" s="14">
        <f t="shared" si="82"/>
        <v>0</v>
      </c>
      <c r="BX36" s="13">
        <f>'[2]Oct-Dec''25'!BZ36+'[2]Apr-Sep''25'!BZ36</f>
        <v>190</v>
      </c>
      <c r="BY36" s="13">
        <f>'[2]Oct-Dec''25'!CA36+'[2]Apr-Sep''25'!CA36</f>
        <v>190</v>
      </c>
      <c r="BZ36" s="14">
        <f t="shared" si="83"/>
        <v>1</v>
      </c>
      <c r="CA36" s="13">
        <f>'[2]Oct-Dec''25'!CC36+'[2]Apr-Sep''25'!CC36</f>
        <v>57</v>
      </c>
      <c r="CB36" s="13">
        <f>'[2]Oct-Dec''25'!CD36+'[2]Apr-Sep''25'!CD36</f>
        <v>116</v>
      </c>
      <c r="CC36" s="14">
        <f t="shared" si="84"/>
        <v>2.0350877192982457</v>
      </c>
      <c r="CD36" s="13">
        <f>'[2]Oct-Dec''25'!CF36+'[2]Apr-Sep''25'!CF36</f>
        <v>0</v>
      </c>
      <c r="CE36" s="13">
        <f>'[2]Oct-Dec''25'!CG36+'[2]Apr-Sep''25'!CG36</f>
        <v>0</v>
      </c>
      <c r="CF36" s="14">
        <f t="shared" si="85"/>
        <v>0</v>
      </c>
    </row>
    <row r="37" spans="1:84" ht="60" x14ac:dyDescent="0.25">
      <c r="A37" s="12">
        <f>'[2]Oct-Dec''25'!A37</f>
        <v>31</v>
      </c>
      <c r="B37" s="12" t="str">
        <f>'[2]Oct-Dec''25'!B37</f>
        <v>YRG Care</v>
      </c>
      <c r="C37" s="1" t="str">
        <f>'[2]Oct-Dec''25'!C37</f>
        <v>Rajasthan</v>
      </c>
      <c r="D37" s="3" t="str">
        <f>'[2]Oct-Dec''25'!D37</f>
        <v>BHILWARA NETWORK FOR PEOPLE LIVING WITH HIV/AIDS SANSTHAN - BHILWARA</v>
      </c>
      <c r="E37" s="1" t="str">
        <f>'[2]Oct-Dec''25'!E37</f>
        <v>BHILWARA</v>
      </c>
      <c r="F37" s="12" t="s">
        <v>85</v>
      </c>
      <c r="G37" s="13">
        <f>'[2]Oct-Dec''25'!H37+'[2]Apr-Sep''25'!H37</f>
        <v>356</v>
      </c>
      <c r="H37" s="13">
        <f>'[2]Oct-Dec''25'!I37+'[2]Apr-Sep''25'!I37</f>
        <v>354</v>
      </c>
      <c r="I37" s="7">
        <f t="shared" si="59"/>
        <v>0.9943820224719101</v>
      </c>
      <c r="J37" s="13">
        <f>'[2]Oct-Dec''25'!K37+'[2]Apr-Sep''25'!K37</f>
        <v>0</v>
      </c>
      <c r="K37" s="13">
        <f>'[2]Oct-Dec''25'!L37+'[2]Apr-Sep''25'!L37</f>
        <v>0</v>
      </c>
      <c r="L37" s="7"/>
      <c r="M37" s="13">
        <f>'[2]Oct-Dec''25'!N37+'[2]Apr-Sep''25'!N37</f>
        <v>314</v>
      </c>
      <c r="N37" s="13">
        <f>'[2]Oct-Dec''25'!O37+'[2]Apr-Sep''25'!O37</f>
        <v>309</v>
      </c>
      <c r="O37" s="8">
        <f t="shared" si="60"/>
        <v>0.98407643312101911</v>
      </c>
      <c r="P37" s="13">
        <f>'[2]Oct-Dec''25'!Q37+'[2]Apr-Sep''25'!Q37</f>
        <v>274</v>
      </c>
      <c r="Q37" s="13">
        <f>'[2]Oct-Dec''25'!R37+'[2]Apr-Sep''25'!R37</f>
        <v>261</v>
      </c>
      <c r="R37" s="8">
        <f t="shared" si="61"/>
        <v>0.95255474452554745</v>
      </c>
      <c r="S37" s="13">
        <f>'[2]Oct-Dec''25'!T37+'[2]Apr-Sep''25'!T37</f>
        <v>1549</v>
      </c>
      <c r="T37" s="13">
        <f>'[2]Oct-Dec''25'!U37+'[2]Apr-Sep''25'!U37</f>
        <v>941</v>
      </c>
      <c r="U37" s="8">
        <f t="shared" si="62"/>
        <v>0.60748870238863784</v>
      </c>
      <c r="V37" s="13">
        <f>'[2]Oct-Dec''25'!W37+'[2]Apr-Sep''25'!W37</f>
        <v>835</v>
      </c>
      <c r="W37" s="13">
        <f>'[2]Oct-Dec''25'!Y37+'[2]Apr-Sep''25'!Y37</f>
        <v>550</v>
      </c>
      <c r="X37" s="8">
        <f t="shared" si="63"/>
        <v>0.6586826347305389</v>
      </c>
      <c r="Y37" s="13">
        <f>'[2]Oct-Dec''25'!AA37+'[2]Apr-Sep''25'!AA37</f>
        <v>157</v>
      </c>
      <c r="Z37" s="13">
        <f>'[2]Oct-Dec''25'!AB37+'[2]Apr-Sep''25'!AB37</f>
        <v>157</v>
      </c>
      <c r="AA37" s="8">
        <f t="shared" si="64"/>
        <v>1</v>
      </c>
      <c r="AB37" s="13">
        <f>'[2]Oct-Dec''25'!AD37+'[2]Apr-Sep''25'!AD37</f>
        <v>117</v>
      </c>
      <c r="AC37" s="13">
        <f>'[2]Oct-Dec''25'!AE37+'[2]Apr-Sep''25'!AE37</f>
        <v>85</v>
      </c>
      <c r="AD37" s="8">
        <f t="shared" si="65"/>
        <v>0.72649572649572647</v>
      </c>
      <c r="AE37" s="13">
        <f>'[2]Oct-Dec''25'!AJ37+'[2]Apr-Sep''25'!AJ37</f>
        <v>237</v>
      </c>
      <c r="AF37" s="13">
        <f>'[2]Oct-Dec''25'!AK37+'[2]Apr-Sep''25'!AK37</f>
        <v>170</v>
      </c>
      <c r="AG37" s="8">
        <f t="shared" si="66"/>
        <v>0.71729957805907174</v>
      </c>
      <c r="AH37" s="13">
        <f>'[2]Oct-Dec''25'!AM37+'[2]Apr-Sep''25'!AM37</f>
        <v>1</v>
      </c>
      <c r="AI37" s="13">
        <f>'[2]Oct-Dec''25'!AN37+'[2]Apr-Sep''25'!AN37</f>
        <v>1</v>
      </c>
      <c r="AJ37" s="8">
        <f t="shared" si="67"/>
        <v>1</v>
      </c>
      <c r="AK37" s="13">
        <f>'[2]Oct-Dec''25'!AP37+'[2]Apr-Sep''25'!AP37</f>
        <v>186</v>
      </c>
      <c r="AL37" s="13">
        <f>'[2]Oct-Dec''25'!AQ37+'[2]Apr-Sep''25'!AQ37</f>
        <v>92</v>
      </c>
      <c r="AM37" s="8">
        <f t="shared" si="68"/>
        <v>0.4946236559139785</v>
      </c>
      <c r="AN37" s="13">
        <f>'[2]Oct-Dec''25'!AS37+'[2]Apr-Sep''25'!AS37</f>
        <v>91</v>
      </c>
      <c r="AO37" s="13">
        <f>'[2]Oct-Dec''25'!AT37+'[2]Apr-Sep''25'!AT37</f>
        <v>91</v>
      </c>
      <c r="AP37" s="8">
        <f t="shared" si="69"/>
        <v>1</v>
      </c>
      <c r="AQ37" s="13">
        <f>'[2]Oct-Dec''25'!AV37+'[2]Apr-Sep''25'!AV37</f>
        <v>0</v>
      </c>
      <c r="AR37" s="13">
        <f>'[2]Oct-Dec''25'!AW37+'[2]Apr-Sep''25'!AW37</f>
        <v>0</v>
      </c>
      <c r="AS37" s="8" t="e">
        <f t="shared" si="70"/>
        <v>#DIV/0!</v>
      </c>
      <c r="AT37" s="13">
        <f>'[2]Oct-Dec''25'!AY37+'[2]Apr-Sep''25'!AY37</f>
        <v>87</v>
      </c>
      <c r="AU37" s="13">
        <f>'[2]Oct-Dec''25'!AZ37+'[2]Apr-Sep''25'!AZ37</f>
        <v>87</v>
      </c>
      <c r="AV37" s="8">
        <f t="shared" si="71"/>
        <v>1</v>
      </c>
      <c r="AW37" s="9">
        <f t="shared" si="72"/>
        <v>178</v>
      </c>
      <c r="AX37" s="9">
        <f t="shared" si="73"/>
        <v>178</v>
      </c>
      <c r="AY37" s="8">
        <f t="shared" si="74"/>
        <v>1</v>
      </c>
      <c r="AZ37" s="13">
        <f>'[2]Oct-Dec''25'!BB37+'[2]Apr-Sep''25'!BB37</f>
        <v>0</v>
      </c>
      <c r="BA37" s="13">
        <f>'[2]Oct-Dec''25'!BC37+'[2]Apr-Sep''25'!BC37</f>
        <v>83</v>
      </c>
      <c r="BB37" s="14">
        <f t="shared" si="75"/>
        <v>0</v>
      </c>
      <c r="BC37" s="13">
        <f>'[2]Oct-Dec''25'!BE37+'[2]Apr-Sep''25'!BE37</f>
        <v>0</v>
      </c>
      <c r="BD37" s="13">
        <f>'[2]Oct-Dec''25'!BF37+'[2]Apr-Sep''25'!BF37</f>
        <v>0</v>
      </c>
      <c r="BE37" s="14">
        <f t="shared" si="76"/>
        <v>0</v>
      </c>
      <c r="BF37" s="13">
        <f>'[2]Oct-Dec''25'!BH37+'[2]Apr-Sep''25'!BH37</f>
        <v>3</v>
      </c>
      <c r="BG37" s="13">
        <f>'[2]Oct-Dec''25'!BI37+'[2]Apr-Sep''25'!BI37</f>
        <v>2</v>
      </c>
      <c r="BH37" s="14">
        <f t="shared" si="77"/>
        <v>0.66666666666666663</v>
      </c>
      <c r="BI37" s="13">
        <f>'[2]Oct-Dec''25'!BK37+'[2]Apr-Sep''25'!BK37</f>
        <v>16</v>
      </c>
      <c r="BJ37" s="13">
        <f>'[2]Oct-Dec''25'!BL37+'[2]Apr-Sep''25'!BL37</f>
        <v>15</v>
      </c>
      <c r="BK37" s="15">
        <f t="shared" si="78"/>
        <v>0.9375</v>
      </c>
      <c r="BL37" s="13">
        <f>'[2]Oct-Dec''25'!BN37+'[2]Apr-Sep''25'!BN37</f>
        <v>20</v>
      </c>
      <c r="BM37" s="13">
        <f>'[2]Oct-Dec''25'!BO37+'[2]Apr-Sep''25'!BO37</f>
        <v>17</v>
      </c>
      <c r="BN37" s="15">
        <f t="shared" si="79"/>
        <v>0.85</v>
      </c>
      <c r="BO37" s="13">
        <f>'[2]Oct-Dec''25'!BQ37+'[2]Apr-Sep''25'!BQ37</f>
        <v>23</v>
      </c>
      <c r="BP37" s="13">
        <f>'[2]Oct-Dec''25'!BR37+'[2]Apr-Sep''25'!BR37</f>
        <v>23</v>
      </c>
      <c r="BQ37" s="15">
        <f t="shared" si="80"/>
        <v>1</v>
      </c>
      <c r="BR37" s="13">
        <f>'[2]Oct-Dec''25'!BT37+'[2]Apr-Sep''25'!BT37</f>
        <v>15</v>
      </c>
      <c r="BS37" s="13">
        <f>'[2]Oct-Dec''25'!BU37+'[2]Apr-Sep''25'!BU37</f>
        <v>13</v>
      </c>
      <c r="BT37" s="14">
        <f t="shared" si="81"/>
        <v>0.8666666666666667</v>
      </c>
      <c r="BU37" s="13">
        <f>'[2]Oct-Dec''25'!BW37+'[2]Apr-Sep''25'!BW37</f>
        <v>0</v>
      </c>
      <c r="BV37" s="13">
        <f>'[2]Oct-Dec''25'!BX37+'[2]Apr-Sep''25'!BX37</f>
        <v>0</v>
      </c>
      <c r="BW37" s="14">
        <f t="shared" si="82"/>
        <v>0</v>
      </c>
      <c r="BX37" s="13">
        <f>'[2]Oct-Dec''25'!BZ37+'[2]Apr-Sep''25'!BZ37</f>
        <v>354</v>
      </c>
      <c r="BY37" s="13">
        <f>'[2]Oct-Dec''25'!CA37+'[2]Apr-Sep''25'!CA37</f>
        <v>354</v>
      </c>
      <c r="BZ37" s="14">
        <f t="shared" si="83"/>
        <v>1</v>
      </c>
      <c r="CA37" s="13">
        <f>'[2]Oct-Dec''25'!CC37+'[2]Apr-Sep''25'!CC37</f>
        <v>61</v>
      </c>
      <c r="CB37" s="13">
        <f>'[2]Oct-Dec''25'!CD37+'[2]Apr-Sep''25'!CD37</f>
        <v>57</v>
      </c>
      <c r="CC37" s="14">
        <f t="shared" si="84"/>
        <v>0.93442622950819676</v>
      </c>
      <c r="CD37" s="13">
        <f>'[2]Oct-Dec''25'!CF37+'[2]Apr-Sep''25'!CF37</f>
        <v>0</v>
      </c>
      <c r="CE37" s="13">
        <f>'[2]Oct-Dec''25'!CG37+'[2]Apr-Sep''25'!CG37</f>
        <v>0</v>
      </c>
      <c r="CF37" s="14">
        <f t="shared" si="85"/>
        <v>0</v>
      </c>
    </row>
    <row r="38" spans="1:84" ht="36" x14ac:dyDescent="0.25">
      <c r="A38" s="12">
        <f>'[2]Oct-Dec''25'!A38</f>
        <v>32</v>
      </c>
      <c r="B38" s="12" t="str">
        <f>'[2]Oct-Dec''25'!B38</f>
        <v>YRG Care</v>
      </c>
      <c r="C38" s="1" t="str">
        <f>'[2]Oct-Dec''25'!C38</f>
        <v>Rajasthan</v>
      </c>
      <c r="D38" s="3" t="str">
        <f>'[2]Oct-Dec''25'!D38</f>
        <v>BIKANER NETWORK FOR PEOPLES LIVING WITH HIV SANSTHAN</v>
      </c>
      <c r="E38" s="1" t="str">
        <f>'[2]Oct-Dec''25'!E38</f>
        <v>BIKANER</v>
      </c>
      <c r="F38" s="12" t="s">
        <v>85</v>
      </c>
      <c r="G38" s="13">
        <f>'[2]Oct-Dec''25'!H38+'[2]Apr-Sep''25'!H38</f>
        <v>180</v>
      </c>
      <c r="H38" s="13">
        <f>'[2]Oct-Dec''25'!I38+'[2]Apr-Sep''25'!I38</f>
        <v>126</v>
      </c>
      <c r="I38" s="7">
        <f t="shared" si="59"/>
        <v>0.7</v>
      </c>
      <c r="J38" s="13">
        <f>'[2]Oct-Dec''25'!K38+'[2]Apr-Sep''25'!K38</f>
        <v>9</v>
      </c>
      <c r="K38" s="13">
        <f>'[2]Oct-Dec''25'!L38+'[2]Apr-Sep''25'!L38</f>
        <v>5</v>
      </c>
      <c r="L38" s="7">
        <f>K38/J38</f>
        <v>0.55555555555555558</v>
      </c>
      <c r="M38" s="13">
        <f>'[2]Oct-Dec''25'!N38+'[2]Apr-Sep''25'!N38</f>
        <v>154</v>
      </c>
      <c r="N38" s="13">
        <f>'[2]Oct-Dec''25'!O38+'[2]Apr-Sep''25'!O38</f>
        <v>154</v>
      </c>
      <c r="O38" s="8">
        <f t="shared" si="60"/>
        <v>1</v>
      </c>
      <c r="P38" s="13">
        <f>'[2]Oct-Dec''25'!Q38+'[2]Apr-Sep''25'!Q38</f>
        <v>150</v>
      </c>
      <c r="Q38" s="13">
        <f>'[2]Oct-Dec''25'!R38+'[2]Apr-Sep''25'!R38</f>
        <v>133</v>
      </c>
      <c r="R38" s="8">
        <f t="shared" si="61"/>
        <v>0.88666666666666671</v>
      </c>
      <c r="S38" s="13">
        <f>'[2]Oct-Dec''25'!T38+'[2]Apr-Sep''25'!T38</f>
        <v>729</v>
      </c>
      <c r="T38" s="13">
        <f>'[2]Oct-Dec''25'!U38+'[2]Apr-Sep''25'!U38</f>
        <v>582</v>
      </c>
      <c r="U38" s="8">
        <f t="shared" si="62"/>
        <v>0.79835390946502061</v>
      </c>
      <c r="V38" s="13">
        <f>'[2]Oct-Dec''25'!W38+'[2]Apr-Sep''25'!W38</f>
        <v>293</v>
      </c>
      <c r="W38" s="13">
        <f>'[2]Oct-Dec''25'!Y38+'[2]Apr-Sep''25'!Y38</f>
        <v>199</v>
      </c>
      <c r="X38" s="8">
        <f t="shared" si="63"/>
        <v>0.67918088737201365</v>
      </c>
      <c r="Y38" s="13">
        <f>'[2]Oct-Dec''25'!AA38+'[2]Apr-Sep''25'!AA38</f>
        <v>71</v>
      </c>
      <c r="Z38" s="13">
        <f>'[2]Oct-Dec''25'!AB38+'[2]Apr-Sep''25'!AB38</f>
        <v>71</v>
      </c>
      <c r="AA38" s="8">
        <f t="shared" si="64"/>
        <v>1</v>
      </c>
      <c r="AB38" s="13">
        <f>'[2]Oct-Dec''25'!AD38+'[2]Apr-Sep''25'!AD38</f>
        <v>76</v>
      </c>
      <c r="AC38" s="13">
        <f>'[2]Oct-Dec''25'!AE38+'[2]Apr-Sep''25'!AE38</f>
        <v>55</v>
      </c>
      <c r="AD38" s="8">
        <f t="shared" si="65"/>
        <v>0.72368421052631582</v>
      </c>
      <c r="AE38" s="13">
        <f>'[2]Oct-Dec''25'!AJ38+'[2]Apr-Sep''25'!AJ38</f>
        <v>47</v>
      </c>
      <c r="AF38" s="13">
        <f>'[2]Oct-Dec''25'!AK38+'[2]Apr-Sep''25'!AK38</f>
        <v>46</v>
      </c>
      <c r="AG38" s="8">
        <f t="shared" si="66"/>
        <v>0.97872340425531912</v>
      </c>
      <c r="AH38" s="13">
        <f>'[2]Oct-Dec''25'!AM38+'[2]Apr-Sep''25'!AM38</f>
        <v>0</v>
      </c>
      <c r="AI38" s="13">
        <f>'[2]Oct-Dec''25'!AN38+'[2]Apr-Sep''25'!AN38</f>
        <v>0</v>
      </c>
      <c r="AJ38" s="8" t="e">
        <f t="shared" si="67"/>
        <v>#DIV/0!</v>
      </c>
      <c r="AK38" s="13">
        <f>'[2]Oct-Dec''25'!AP38+'[2]Apr-Sep''25'!AP38</f>
        <v>0</v>
      </c>
      <c r="AL38" s="13">
        <f>'[2]Oct-Dec''25'!AQ38+'[2]Apr-Sep''25'!AQ38</f>
        <v>0</v>
      </c>
      <c r="AM38" s="8" t="e">
        <f t="shared" si="68"/>
        <v>#DIV/0!</v>
      </c>
      <c r="AN38" s="13">
        <f>'[2]Oct-Dec''25'!AS38+'[2]Apr-Sep''25'!AS38</f>
        <v>7</v>
      </c>
      <c r="AO38" s="13">
        <f>'[2]Oct-Dec''25'!AT38+'[2]Apr-Sep''25'!AT38</f>
        <v>6</v>
      </c>
      <c r="AP38" s="8">
        <f t="shared" si="69"/>
        <v>0.8571428571428571</v>
      </c>
      <c r="AQ38" s="13">
        <f>'[2]Oct-Dec''25'!AV38+'[2]Apr-Sep''25'!AV38</f>
        <v>0</v>
      </c>
      <c r="AR38" s="13">
        <f>'[2]Oct-Dec''25'!AW38+'[2]Apr-Sep''25'!AW38</f>
        <v>0</v>
      </c>
      <c r="AS38" s="8" t="e">
        <f t="shared" si="70"/>
        <v>#DIV/0!</v>
      </c>
      <c r="AT38" s="13">
        <f>'[2]Oct-Dec''25'!AY38+'[2]Apr-Sep''25'!AY38</f>
        <v>2</v>
      </c>
      <c r="AU38" s="13">
        <f>'[2]Oct-Dec''25'!AZ38+'[2]Apr-Sep''25'!AZ38</f>
        <v>2</v>
      </c>
      <c r="AV38" s="8">
        <f t="shared" si="71"/>
        <v>1</v>
      </c>
      <c r="AW38" s="9">
        <f t="shared" si="72"/>
        <v>9</v>
      </c>
      <c r="AX38" s="9">
        <f t="shared" si="73"/>
        <v>8</v>
      </c>
      <c r="AY38" s="8">
        <f t="shared" si="74"/>
        <v>0.88888888888888884</v>
      </c>
      <c r="AZ38" s="13">
        <f>'[2]Oct-Dec''25'!BB38+'[2]Apr-Sep''25'!BB38</f>
        <v>2</v>
      </c>
      <c r="BA38" s="13">
        <f>'[2]Oct-Dec''25'!BC38+'[2]Apr-Sep''25'!BC38</f>
        <v>2</v>
      </c>
      <c r="BB38" s="14">
        <f t="shared" si="75"/>
        <v>1</v>
      </c>
      <c r="BC38" s="13">
        <f>'[2]Oct-Dec''25'!BE38+'[2]Apr-Sep''25'!BE38</f>
        <v>0</v>
      </c>
      <c r="BD38" s="13">
        <f>'[2]Oct-Dec''25'!BF38+'[2]Apr-Sep''25'!BF38</f>
        <v>0</v>
      </c>
      <c r="BE38" s="14">
        <f t="shared" si="76"/>
        <v>0</v>
      </c>
      <c r="BF38" s="13">
        <f>'[2]Oct-Dec''25'!BH38+'[2]Apr-Sep''25'!BH38</f>
        <v>2</v>
      </c>
      <c r="BG38" s="13">
        <f>'[2]Oct-Dec''25'!BI38+'[2]Apr-Sep''25'!BI38</f>
        <v>2</v>
      </c>
      <c r="BH38" s="14">
        <f t="shared" si="77"/>
        <v>1</v>
      </c>
      <c r="BI38" s="13">
        <f>'[2]Oct-Dec''25'!BK38+'[2]Apr-Sep''25'!BK38</f>
        <v>0</v>
      </c>
      <c r="BJ38" s="13">
        <f>'[2]Oct-Dec''25'!BL38+'[2]Apr-Sep''25'!BL38</f>
        <v>0</v>
      </c>
      <c r="BK38" s="15">
        <f t="shared" si="78"/>
        <v>0</v>
      </c>
      <c r="BL38" s="13">
        <f>'[2]Oct-Dec''25'!BN38+'[2]Apr-Sep''25'!BN38</f>
        <v>0</v>
      </c>
      <c r="BM38" s="13">
        <f>'[2]Oct-Dec''25'!BO38+'[2]Apr-Sep''25'!BO38</f>
        <v>0</v>
      </c>
      <c r="BN38" s="15">
        <f t="shared" si="79"/>
        <v>0</v>
      </c>
      <c r="BO38" s="13">
        <f>'[2]Oct-Dec''25'!BQ38+'[2]Apr-Sep''25'!BQ38</f>
        <v>0</v>
      </c>
      <c r="BP38" s="13">
        <f>'[2]Oct-Dec''25'!BR38+'[2]Apr-Sep''25'!BR38</f>
        <v>0</v>
      </c>
      <c r="BQ38" s="15">
        <f t="shared" si="80"/>
        <v>0</v>
      </c>
      <c r="BR38" s="13">
        <f>'[2]Oct-Dec''25'!BT38+'[2]Apr-Sep''25'!BT38</f>
        <v>0</v>
      </c>
      <c r="BS38" s="13">
        <f>'[2]Oct-Dec''25'!BU38+'[2]Apr-Sep''25'!BU38</f>
        <v>0</v>
      </c>
      <c r="BT38" s="14">
        <f t="shared" si="81"/>
        <v>0</v>
      </c>
      <c r="BU38" s="13">
        <f>'[2]Oct-Dec''25'!BW38+'[2]Apr-Sep''25'!BW38</f>
        <v>0</v>
      </c>
      <c r="BV38" s="13">
        <f>'[2]Oct-Dec''25'!BX38+'[2]Apr-Sep''25'!BX38</f>
        <v>0</v>
      </c>
      <c r="BW38" s="14">
        <f t="shared" si="82"/>
        <v>0</v>
      </c>
      <c r="BX38" s="13">
        <f>'[2]Oct-Dec''25'!BZ38+'[2]Apr-Sep''25'!BZ38</f>
        <v>126</v>
      </c>
      <c r="BY38" s="13">
        <f>'[2]Oct-Dec''25'!CA38+'[2]Apr-Sep''25'!CA38</f>
        <v>126</v>
      </c>
      <c r="BZ38" s="14">
        <f t="shared" si="83"/>
        <v>1</v>
      </c>
      <c r="CA38" s="13">
        <f>'[2]Oct-Dec''25'!CC38+'[2]Apr-Sep''25'!CC38</f>
        <v>31</v>
      </c>
      <c r="CB38" s="13">
        <f>'[2]Oct-Dec''25'!CD38+'[2]Apr-Sep''25'!CD38</f>
        <v>31</v>
      </c>
      <c r="CC38" s="14">
        <f t="shared" si="84"/>
        <v>1</v>
      </c>
      <c r="CD38" s="13">
        <f>'[2]Oct-Dec''25'!CF38+'[2]Apr-Sep''25'!CF38</f>
        <v>0</v>
      </c>
      <c r="CE38" s="13">
        <f>'[2]Oct-Dec''25'!CG38+'[2]Apr-Sep''25'!CG38</f>
        <v>0</v>
      </c>
      <c r="CF38" s="14">
        <f t="shared" si="85"/>
        <v>0</v>
      </c>
    </row>
    <row r="39" spans="1:84" ht="36" x14ac:dyDescent="0.25">
      <c r="A39" s="12">
        <f>'[2]Oct-Dec''25'!A39</f>
        <v>33</v>
      </c>
      <c r="B39" s="12" t="str">
        <f>'[2]Oct-Dec''25'!B39</f>
        <v>YRG Care</v>
      </c>
      <c r="C39" s="1" t="str">
        <f>'[2]Oct-Dec''25'!C39</f>
        <v>Rajasthan</v>
      </c>
      <c r="D39" s="3" t="str">
        <f>'[2]Oct-Dec''25'!D39</f>
        <v>POSITIVE WOMEN NETWORK OF RAJASTHAN SOCIETY</v>
      </c>
      <c r="E39" s="1" t="str">
        <f>'[2]Oct-Dec''25'!E39</f>
        <v>JAIPUR</v>
      </c>
      <c r="F39" s="12" t="s">
        <v>85</v>
      </c>
      <c r="G39" s="13">
        <f>'[2]Oct-Dec''25'!H39+'[2]Apr-Sep''25'!H39</f>
        <v>1029</v>
      </c>
      <c r="H39" s="13">
        <f>'[2]Oct-Dec''25'!I39+'[2]Apr-Sep''25'!I39</f>
        <v>812</v>
      </c>
      <c r="I39" s="7">
        <f t="shared" ref="I39:I70" si="87">H39/G39</f>
        <v>0.78911564625850339</v>
      </c>
      <c r="J39" s="13">
        <f>'[2]Oct-Dec''25'!K39+'[2]Apr-Sep''25'!K39</f>
        <v>23</v>
      </c>
      <c r="K39" s="13">
        <f>'[2]Oct-Dec''25'!L39+'[2]Apr-Sep''25'!L39</f>
        <v>9</v>
      </c>
      <c r="L39" s="7">
        <f>K39/J39</f>
        <v>0.39130434782608697</v>
      </c>
      <c r="M39" s="13">
        <f>'[2]Oct-Dec''25'!N39+'[2]Apr-Sep''25'!N39</f>
        <v>934</v>
      </c>
      <c r="N39" s="13">
        <f>'[2]Oct-Dec''25'!O39+'[2]Apr-Sep''25'!O39</f>
        <v>918</v>
      </c>
      <c r="O39" s="8">
        <f t="shared" ref="O39:O70" si="88">N39/M39</f>
        <v>0.98286937901498928</v>
      </c>
      <c r="P39" s="13">
        <f>'[2]Oct-Dec''25'!Q39+'[2]Apr-Sep''25'!Q39</f>
        <v>781</v>
      </c>
      <c r="Q39" s="13">
        <f>'[2]Oct-Dec''25'!R39+'[2]Apr-Sep''25'!R39</f>
        <v>611</v>
      </c>
      <c r="R39" s="8">
        <f t="shared" ref="R39:R70" si="89">Q39/P39</f>
        <v>0.78233034571062743</v>
      </c>
      <c r="S39" s="13">
        <f>'[2]Oct-Dec''25'!T39+'[2]Apr-Sep''25'!T39</f>
        <v>3857</v>
      </c>
      <c r="T39" s="13">
        <f>'[2]Oct-Dec''25'!U39+'[2]Apr-Sep''25'!U39</f>
        <v>2728</v>
      </c>
      <c r="U39" s="8">
        <f t="shared" ref="U39:U70" si="90">T39/S39</f>
        <v>0.70728545501685247</v>
      </c>
      <c r="V39" s="13">
        <f>'[2]Oct-Dec''25'!W39+'[2]Apr-Sep''25'!W39</f>
        <v>1564</v>
      </c>
      <c r="W39" s="13">
        <f>'[2]Oct-Dec''25'!Y39+'[2]Apr-Sep''25'!Y39</f>
        <v>1021</v>
      </c>
      <c r="X39" s="8">
        <f t="shared" ref="X39:X70" si="91">W39/V39</f>
        <v>0.65281329923273657</v>
      </c>
      <c r="Y39" s="13">
        <f>'[2]Oct-Dec''25'!AA39+'[2]Apr-Sep''25'!AA39</f>
        <v>102</v>
      </c>
      <c r="Z39" s="13">
        <f>'[2]Oct-Dec''25'!AB39+'[2]Apr-Sep''25'!AB39</f>
        <v>102</v>
      </c>
      <c r="AA39" s="8">
        <f t="shared" ref="AA39:AA70" si="92">Z39/Y39</f>
        <v>1</v>
      </c>
      <c r="AB39" s="13">
        <f>'[2]Oct-Dec''25'!AD39+'[2]Apr-Sep''25'!AD39</f>
        <v>142</v>
      </c>
      <c r="AC39" s="13">
        <f>'[2]Oct-Dec''25'!AE39+'[2]Apr-Sep''25'!AE39</f>
        <v>59</v>
      </c>
      <c r="AD39" s="8">
        <f t="shared" ref="AD39:AD70" si="93">AC39/AB39</f>
        <v>0.41549295774647887</v>
      </c>
      <c r="AE39" s="13">
        <f>'[2]Oct-Dec''25'!AJ39+'[2]Apr-Sep''25'!AJ39</f>
        <v>631</v>
      </c>
      <c r="AF39" s="13">
        <f>'[2]Oct-Dec''25'!AK39+'[2]Apr-Sep''25'!AK39</f>
        <v>381</v>
      </c>
      <c r="AG39" s="8">
        <f t="shared" ref="AG39:AG70" si="94">AF39/AE39</f>
        <v>0.60380348652931859</v>
      </c>
      <c r="AH39" s="13">
        <f>'[2]Oct-Dec''25'!AM39+'[2]Apr-Sep''25'!AM39</f>
        <v>27</v>
      </c>
      <c r="AI39" s="13">
        <f>'[2]Oct-Dec''25'!AN39+'[2]Apr-Sep''25'!AN39</f>
        <v>27</v>
      </c>
      <c r="AJ39" s="8">
        <f t="shared" ref="AJ39:AJ70" si="95">AI39/AH39</f>
        <v>1</v>
      </c>
      <c r="AK39" s="13">
        <f>'[2]Oct-Dec''25'!AP39+'[2]Apr-Sep''25'!AP39</f>
        <v>74</v>
      </c>
      <c r="AL39" s="13">
        <f>'[2]Oct-Dec''25'!AQ39+'[2]Apr-Sep''25'!AQ39</f>
        <v>16</v>
      </c>
      <c r="AM39" s="8">
        <f t="shared" ref="AM39:AM70" si="96">AL39/AK39</f>
        <v>0.21621621621621623</v>
      </c>
      <c r="AN39" s="13">
        <f>'[2]Oct-Dec''25'!AS39+'[2]Apr-Sep''25'!AS39</f>
        <v>108</v>
      </c>
      <c r="AO39" s="13">
        <f>'[2]Oct-Dec''25'!AT39+'[2]Apr-Sep''25'!AT39</f>
        <v>52</v>
      </c>
      <c r="AP39" s="8">
        <f t="shared" ref="AP39:AP70" si="97">AO39/AN39</f>
        <v>0.48148148148148145</v>
      </c>
      <c r="AQ39" s="13">
        <f>'[2]Oct-Dec''25'!AV39+'[2]Apr-Sep''25'!AV39</f>
        <v>0</v>
      </c>
      <c r="AR39" s="13">
        <f>'[2]Oct-Dec''25'!AW39+'[2]Apr-Sep''25'!AW39</f>
        <v>0</v>
      </c>
      <c r="AS39" s="8" t="e">
        <f t="shared" ref="AS39:AS70" si="98">AR39/AQ39</f>
        <v>#DIV/0!</v>
      </c>
      <c r="AT39" s="13">
        <f>'[2]Oct-Dec''25'!AY39+'[2]Apr-Sep''25'!AY39</f>
        <v>94</v>
      </c>
      <c r="AU39" s="13">
        <f>'[2]Oct-Dec''25'!AZ39+'[2]Apr-Sep''25'!AZ39</f>
        <v>61</v>
      </c>
      <c r="AV39" s="8">
        <f t="shared" ref="AV39:AV70" si="99">AU39/AT39</f>
        <v>0.64893617021276595</v>
      </c>
      <c r="AW39" s="9">
        <f t="shared" ref="AW39:AW70" si="100">AN39+AQ39+AT39</f>
        <v>202</v>
      </c>
      <c r="AX39" s="9">
        <f t="shared" ref="AX39:AX70" si="101">AO39+AR39+AU39</f>
        <v>113</v>
      </c>
      <c r="AY39" s="8">
        <f t="shared" ref="AY39:AY70" si="102">AX39/AW39</f>
        <v>0.55940594059405946</v>
      </c>
      <c r="AZ39" s="13">
        <f>'[2]Oct-Dec''25'!BB39+'[2]Apr-Sep''25'!BB39</f>
        <v>60</v>
      </c>
      <c r="BA39" s="13">
        <f>'[2]Oct-Dec''25'!BC39+'[2]Apr-Sep''25'!BC39</f>
        <v>38</v>
      </c>
      <c r="BB39" s="14">
        <f t="shared" ref="BB39:BB70" si="103">IFERROR(BA39/AZ39,0)</f>
        <v>0.6333333333333333</v>
      </c>
      <c r="BC39" s="13">
        <f>'[2]Oct-Dec''25'!BE39+'[2]Apr-Sep''25'!BE39</f>
        <v>19</v>
      </c>
      <c r="BD39" s="13">
        <f>'[2]Oct-Dec''25'!BF39+'[2]Apr-Sep''25'!BF39</f>
        <v>11</v>
      </c>
      <c r="BE39" s="14">
        <f t="shared" ref="BE39:BE70" si="104">IFERROR(BD39/BC39,0)</f>
        <v>0.57894736842105265</v>
      </c>
      <c r="BF39" s="13">
        <f>'[2]Oct-Dec''25'!BH39+'[2]Apr-Sep''25'!BH39</f>
        <v>25</v>
      </c>
      <c r="BG39" s="13">
        <f>'[2]Oct-Dec''25'!BI39+'[2]Apr-Sep''25'!BI39</f>
        <v>25</v>
      </c>
      <c r="BH39" s="14">
        <f t="shared" ref="BH39:BH70" si="105">IFERROR(BG39/BF39,0)</f>
        <v>1</v>
      </c>
      <c r="BI39" s="13">
        <f>'[2]Oct-Dec''25'!BK39+'[2]Apr-Sep''25'!BK39</f>
        <v>38</v>
      </c>
      <c r="BJ39" s="13">
        <f>'[2]Oct-Dec''25'!BL39+'[2]Apr-Sep''25'!BL39</f>
        <v>35</v>
      </c>
      <c r="BK39" s="15">
        <f t="shared" ref="BK39:BK70" si="106">IFERROR(BJ39/BI39,0)</f>
        <v>0.92105263157894735</v>
      </c>
      <c r="BL39" s="13">
        <f>'[2]Oct-Dec''25'!BN39+'[2]Apr-Sep''25'!BN39</f>
        <v>39</v>
      </c>
      <c r="BM39" s="13">
        <f>'[2]Oct-Dec''25'!BO39+'[2]Apr-Sep''25'!BO39</f>
        <v>35</v>
      </c>
      <c r="BN39" s="15">
        <f t="shared" ref="BN39:BN70" si="107">IFERROR(BM39/BL39,0)</f>
        <v>0.89743589743589747</v>
      </c>
      <c r="BO39" s="13">
        <f>'[2]Oct-Dec''25'!BQ39+'[2]Apr-Sep''25'!BQ39</f>
        <v>27</v>
      </c>
      <c r="BP39" s="13">
        <f>'[2]Oct-Dec''25'!BR39+'[2]Apr-Sep''25'!BR39</f>
        <v>26</v>
      </c>
      <c r="BQ39" s="15">
        <f t="shared" ref="BQ39:BQ70" si="108">IFERROR(BP39/BO39,0)</f>
        <v>0.96296296296296291</v>
      </c>
      <c r="BR39" s="13">
        <f>'[2]Oct-Dec''25'!BT39+'[2]Apr-Sep''25'!BT39</f>
        <v>3</v>
      </c>
      <c r="BS39" s="13">
        <f>'[2]Oct-Dec''25'!BU39+'[2]Apr-Sep''25'!BU39</f>
        <v>3</v>
      </c>
      <c r="BT39" s="14">
        <f t="shared" ref="BT39:BT70" si="109">IFERROR(BS39/BR39,0)</f>
        <v>1</v>
      </c>
      <c r="BU39" s="13">
        <f>'[2]Oct-Dec''25'!BW39+'[2]Apr-Sep''25'!BW39</f>
        <v>0</v>
      </c>
      <c r="BV39" s="13">
        <f>'[2]Oct-Dec''25'!BX39+'[2]Apr-Sep''25'!BX39</f>
        <v>0</v>
      </c>
      <c r="BW39" s="14">
        <f t="shared" ref="BW39:BW70" si="110">IFERROR(BV39/BU39,0)</f>
        <v>0</v>
      </c>
      <c r="BX39" s="13">
        <f>'[2]Oct-Dec''25'!BZ39+'[2]Apr-Sep''25'!BZ39</f>
        <v>812</v>
      </c>
      <c r="BY39" s="13">
        <f>'[2]Oct-Dec''25'!CA39+'[2]Apr-Sep''25'!CA39</f>
        <v>812</v>
      </c>
      <c r="BZ39" s="14">
        <f t="shared" ref="BZ39:BZ70" si="111">IFERROR(BY39/BX39,0)</f>
        <v>1</v>
      </c>
      <c r="CA39" s="13">
        <f>'[2]Oct-Dec''25'!CC39+'[2]Apr-Sep''25'!CC39</f>
        <v>0</v>
      </c>
      <c r="CB39" s="13">
        <f>'[2]Oct-Dec''25'!CD39+'[2]Apr-Sep''25'!CD39</f>
        <v>0</v>
      </c>
      <c r="CC39" s="14">
        <f t="shared" ref="CC39:CC70" si="112">IFERROR(CB39/CA39,0)</f>
        <v>0</v>
      </c>
      <c r="CD39" s="13">
        <f>'[2]Oct-Dec''25'!CF39+'[2]Apr-Sep''25'!CF39</f>
        <v>0</v>
      </c>
      <c r="CE39" s="13">
        <f>'[2]Oct-Dec''25'!CG39+'[2]Apr-Sep''25'!CG39</f>
        <v>0</v>
      </c>
      <c r="CF39" s="14">
        <f t="shared" ref="CF39:CF70" si="113">IFERROR(CE39/CD39,0)</f>
        <v>0</v>
      </c>
    </row>
    <row r="40" spans="1:84" ht="48" x14ac:dyDescent="0.25">
      <c r="A40" s="12">
        <f>'[2]Oct-Dec''25'!A40</f>
        <v>34</v>
      </c>
      <c r="B40" s="12" t="str">
        <f>'[2]Oct-Dec''25'!B40</f>
        <v>YRG Care</v>
      </c>
      <c r="C40" s="1" t="str">
        <f>'[2]Oct-Dec''25'!C40</f>
        <v>Rajasthan</v>
      </c>
      <c r="D40" s="3" t="str">
        <f>'[2]Oct-Dec''25'!D40</f>
        <v>JODHPUR NETWORK FOR PEOPLE LIVING WITH HIV/AIDS SANSTHAN</v>
      </c>
      <c r="E40" s="1" t="str">
        <f>'[2]Oct-Dec''25'!E40</f>
        <v>JODHPUR</v>
      </c>
      <c r="F40" s="12" t="s">
        <v>85</v>
      </c>
      <c r="G40" s="13">
        <f>'[2]Oct-Dec''25'!H40+'[2]Apr-Sep''25'!H40</f>
        <v>416</v>
      </c>
      <c r="H40" s="13">
        <f>'[2]Oct-Dec''25'!I40+'[2]Apr-Sep''25'!I40</f>
        <v>231</v>
      </c>
      <c r="I40" s="7">
        <f t="shared" si="87"/>
        <v>0.55528846153846156</v>
      </c>
      <c r="J40" s="13">
        <f>'[2]Oct-Dec''25'!K40+'[2]Apr-Sep''25'!K40</f>
        <v>0</v>
      </c>
      <c r="K40" s="13">
        <f>'[2]Oct-Dec''25'!L40+'[2]Apr-Sep''25'!L40</f>
        <v>0</v>
      </c>
      <c r="L40" s="7"/>
      <c r="M40" s="13">
        <f>'[2]Oct-Dec''25'!N40+'[2]Apr-Sep''25'!N40</f>
        <v>363</v>
      </c>
      <c r="N40" s="13">
        <f>'[2]Oct-Dec''25'!O40+'[2]Apr-Sep''25'!O40</f>
        <v>363</v>
      </c>
      <c r="O40" s="8">
        <f t="shared" si="88"/>
        <v>1</v>
      </c>
      <c r="P40" s="13">
        <f>'[2]Oct-Dec''25'!Q40+'[2]Apr-Sep''25'!Q40</f>
        <v>260</v>
      </c>
      <c r="Q40" s="13">
        <f>'[2]Oct-Dec''25'!R40+'[2]Apr-Sep''25'!R40</f>
        <v>244</v>
      </c>
      <c r="R40" s="8">
        <f t="shared" si="89"/>
        <v>0.93846153846153846</v>
      </c>
      <c r="S40" s="13">
        <f>'[2]Oct-Dec''25'!T40+'[2]Apr-Sep''25'!T40</f>
        <v>3678</v>
      </c>
      <c r="T40" s="13">
        <f>'[2]Oct-Dec''25'!U40+'[2]Apr-Sep''25'!U40</f>
        <v>2700</v>
      </c>
      <c r="U40" s="8">
        <f t="shared" si="90"/>
        <v>0.73409461663947795</v>
      </c>
      <c r="V40" s="13">
        <f>'[2]Oct-Dec''25'!W40+'[2]Apr-Sep''25'!W40</f>
        <v>1425</v>
      </c>
      <c r="W40" s="13">
        <f>'[2]Oct-Dec''25'!Y40+'[2]Apr-Sep''25'!Y40</f>
        <v>959</v>
      </c>
      <c r="X40" s="8">
        <f t="shared" si="91"/>
        <v>0.6729824561403509</v>
      </c>
      <c r="Y40" s="13">
        <f>'[2]Oct-Dec''25'!AA40+'[2]Apr-Sep''25'!AA40</f>
        <v>0</v>
      </c>
      <c r="Z40" s="13">
        <f>'[2]Oct-Dec''25'!AB40+'[2]Apr-Sep''25'!AB40</f>
        <v>0</v>
      </c>
      <c r="AA40" s="8" t="e">
        <f t="shared" si="92"/>
        <v>#DIV/0!</v>
      </c>
      <c r="AB40" s="13">
        <f>'[2]Oct-Dec''25'!AD40+'[2]Apr-Sep''25'!AD40</f>
        <v>0</v>
      </c>
      <c r="AC40" s="13">
        <f>'[2]Oct-Dec''25'!AE40+'[2]Apr-Sep''25'!AE40</f>
        <v>0</v>
      </c>
      <c r="AD40" s="8" t="e">
        <f t="shared" si="93"/>
        <v>#DIV/0!</v>
      </c>
      <c r="AE40" s="13">
        <f>'[2]Oct-Dec''25'!AJ40+'[2]Apr-Sep''25'!AJ40</f>
        <v>942</v>
      </c>
      <c r="AF40" s="13">
        <f>'[2]Oct-Dec''25'!AK40+'[2]Apr-Sep''25'!AK40</f>
        <v>809</v>
      </c>
      <c r="AG40" s="8">
        <f t="shared" si="94"/>
        <v>0.85881104033970279</v>
      </c>
      <c r="AH40" s="13">
        <f>'[2]Oct-Dec''25'!AM40+'[2]Apr-Sep''25'!AM40</f>
        <v>4</v>
      </c>
      <c r="AI40" s="13">
        <f>'[2]Oct-Dec''25'!AN40+'[2]Apr-Sep''25'!AN40</f>
        <v>4</v>
      </c>
      <c r="AJ40" s="8">
        <f t="shared" si="95"/>
        <v>1</v>
      </c>
      <c r="AK40" s="13">
        <f>'[2]Oct-Dec''25'!AP40+'[2]Apr-Sep''25'!AP40</f>
        <v>542</v>
      </c>
      <c r="AL40" s="13">
        <f>'[2]Oct-Dec''25'!AQ40+'[2]Apr-Sep''25'!AQ40</f>
        <v>495</v>
      </c>
      <c r="AM40" s="8">
        <f t="shared" si="96"/>
        <v>0.91328413284132837</v>
      </c>
      <c r="AN40" s="13">
        <f>'[2]Oct-Dec''25'!AS40+'[2]Apr-Sep''25'!AS40</f>
        <v>8</v>
      </c>
      <c r="AO40" s="13">
        <f>'[2]Oct-Dec''25'!AT40+'[2]Apr-Sep''25'!AT40</f>
        <v>0</v>
      </c>
      <c r="AP40" s="8">
        <f t="shared" si="97"/>
        <v>0</v>
      </c>
      <c r="AQ40" s="13">
        <f>'[2]Oct-Dec''25'!AV40+'[2]Apr-Sep''25'!AV40</f>
        <v>0</v>
      </c>
      <c r="AR40" s="13">
        <f>'[2]Oct-Dec''25'!AW40+'[2]Apr-Sep''25'!AW40</f>
        <v>0</v>
      </c>
      <c r="AS40" s="8" t="e">
        <f t="shared" si="98"/>
        <v>#DIV/0!</v>
      </c>
      <c r="AT40" s="13">
        <f>'[2]Oct-Dec''25'!AY40+'[2]Apr-Sep''25'!AY40</f>
        <v>21</v>
      </c>
      <c r="AU40" s="13">
        <f>'[2]Oct-Dec''25'!AZ40+'[2]Apr-Sep''25'!AZ40</f>
        <v>0</v>
      </c>
      <c r="AV40" s="8">
        <f t="shared" si="99"/>
        <v>0</v>
      </c>
      <c r="AW40" s="9">
        <f t="shared" si="100"/>
        <v>29</v>
      </c>
      <c r="AX40" s="9">
        <f t="shared" si="101"/>
        <v>0</v>
      </c>
      <c r="AY40" s="8">
        <f t="shared" si="102"/>
        <v>0</v>
      </c>
      <c r="AZ40" s="13">
        <f>'[2]Oct-Dec''25'!BB40+'[2]Apr-Sep''25'!BB40</f>
        <v>6</v>
      </c>
      <c r="BA40" s="13">
        <f>'[2]Oct-Dec''25'!BC40+'[2]Apr-Sep''25'!BC40</f>
        <v>5</v>
      </c>
      <c r="BB40" s="14">
        <f t="shared" si="103"/>
        <v>0.83333333333333337</v>
      </c>
      <c r="BC40" s="13">
        <f>'[2]Oct-Dec''25'!BE40+'[2]Apr-Sep''25'!BE40</f>
        <v>0</v>
      </c>
      <c r="BD40" s="13">
        <f>'[2]Oct-Dec''25'!BF40+'[2]Apr-Sep''25'!BF40</f>
        <v>0</v>
      </c>
      <c r="BE40" s="14">
        <f t="shared" si="104"/>
        <v>0</v>
      </c>
      <c r="BF40" s="13">
        <f>'[2]Oct-Dec''25'!BH40+'[2]Apr-Sep''25'!BH40</f>
        <v>0</v>
      </c>
      <c r="BG40" s="13">
        <f>'[2]Oct-Dec''25'!BI40+'[2]Apr-Sep''25'!BI40</f>
        <v>0</v>
      </c>
      <c r="BH40" s="14">
        <f t="shared" si="105"/>
        <v>0</v>
      </c>
      <c r="BI40" s="13">
        <f>'[2]Oct-Dec''25'!BK40+'[2]Apr-Sep''25'!BK40</f>
        <v>0</v>
      </c>
      <c r="BJ40" s="13">
        <f>'[2]Oct-Dec''25'!BL40+'[2]Apr-Sep''25'!BL40</f>
        <v>0</v>
      </c>
      <c r="BK40" s="15">
        <f t="shared" si="106"/>
        <v>0</v>
      </c>
      <c r="BL40" s="13">
        <f>'[2]Oct-Dec''25'!BN40+'[2]Apr-Sep''25'!BN40</f>
        <v>0</v>
      </c>
      <c r="BM40" s="13">
        <f>'[2]Oct-Dec''25'!BO40+'[2]Apr-Sep''25'!BO40</f>
        <v>0</v>
      </c>
      <c r="BN40" s="15">
        <f t="shared" si="107"/>
        <v>0</v>
      </c>
      <c r="BO40" s="13">
        <f>'[2]Oct-Dec''25'!BQ40+'[2]Apr-Sep''25'!BQ40</f>
        <v>0</v>
      </c>
      <c r="BP40" s="13">
        <f>'[2]Oct-Dec''25'!BR40+'[2]Apr-Sep''25'!BR40</f>
        <v>0</v>
      </c>
      <c r="BQ40" s="15">
        <f t="shared" si="108"/>
        <v>0</v>
      </c>
      <c r="BR40" s="13">
        <f>'[2]Oct-Dec''25'!BT40+'[2]Apr-Sep''25'!BT40</f>
        <v>0</v>
      </c>
      <c r="BS40" s="13">
        <f>'[2]Oct-Dec''25'!BU40+'[2]Apr-Sep''25'!BU40</f>
        <v>0</v>
      </c>
      <c r="BT40" s="14">
        <f t="shared" si="109"/>
        <v>0</v>
      </c>
      <c r="BU40" s="13">
        <f>'[2]Oct-Dec''25'!BW40+'[2]Apr-Sep''25'!BW40</f>
        <v>0</v>
      </c>
      <c r="BV40" s="13">
        <f>'[2]Oct-Dec''25'!BX40+'[2]Apr-Sep''25'!BX40</f>
        <v>0</v>
      </c>
      <c r="BW40" s="14">
        <f t="shared" si="110"/>
        <v>0</v>
      </c>
      <c r="BX40" s="13">
        <f>'[2]Oct-Dec''25'!BZ40+'[2]Apr-Sep''25'!BZ40</f>
        <v>231</v>
      </c>
      <c r="BY40" s="13">
        <f>'[2]Oct-Dec''25'!CA40+'[2]Apr-Sep''25'!CA40</f>
        <v>231</v>
      </c>
      <c r="BZ40" s="14">
        <f t="shared" si="111"/>
        <v>1</v>
      </c>
      <c r="CA40" s="13">
        <f>'[2]Oct-Dec''25'!CC40+'[2]Apr-Sep''25'!CC40</f>
        <v>0</v>
      </c>
      <c r="CB40" s="13">
        <f>'[2]Oct-Dec''25'!CD40+'[2]Apr-Sep''25'!CD40</f>
        <v>0</v>
      </c>
      <c r="CC40" s="14">
        <f t="shared" si="112"/>
        <v>0</v>
      </c>
      <c r="CD40" s="13">
        <f>'[2]Oct-Dec''25'!CF40+'[2]Apr-Sep''25'!CF40</f>
        <v>0</v>
      </c>
      <c r="CE40" s="13">
        <f>'[2]Oct-Dec''25'!CG40+'[2]Apr-Sep''25'!CG40</f>
        <v>0</v>
      </c>
      <c r="CF40" s="14">
        <f t="shared" si="113"/>
        <v>0</v>
      </c>
    </row>
    <row r="41" spans="1:84" ht="48" x14ac:dyDescent="0.25">
      <c r="A41" s="12">
        <f>'[2]Oct-Dec''25'!A41</f>
        <v>35</v>
      </c>
      <c r="B41" s="12" t="str">
        <f>'[2]Oct-Dec''25'!B41</f>
        <v>YRG Care</v>
      </c>
      <c r="C41" s="1" t="str">
        <f>'[2]Oct-Dec''25'!C41</f>
        <v>Rajasthan</v>
      </c>
      <c r="D41" s="3" t="str">
        <f>'[2]Oct-Dec''25'!D41</f>
        <v>HADOTI NETWORK FOR PEOPLE LIVING WITH HIV/AIDS SAMITI</v>
      </c>
      <c r="E41" s="1" t="str">
        <f>'[2]Oct-Dec''25'!E41</f>
        <v xml:space="preserve">KOTA </v>
      </c>
      <c r="F41" s="12" t="s">
        <v>85</v>
      </c>
      <c r="G41" s="13">
        <f>'[2]Oct-Dec''25'!H41+'[2]Apr-Sep''25'!H41</f>
        <v>289</v>
      </c>
      <c r="H41" s="13">
        <f>'[2]Oct-Dec''25'!I41+'[2]Apr-Sep''25'!I41</f>
        <v>245</v>
      </c>
      <c r="I41" s="7">
        <f t="shared" si="87"/>
        <v>0.84775086505190311</v>
      </c>
      <c r="J41" s="13">
        <f>'[2]Oct-Dec''25'!K41+'[2]Apr-Sep''25'!K41</f>
        <v>9</v>
      </c>
      <c r="K41" s="13">
        <f>'[2]Oct-Dec''25'!L41+'[2]Apr-Sep''25'!L41</f>
        <v>8</v>
      </c>
      <c r="L41" s="7">
        <f>K41/J41</f>
        <v>0.88888888888888884</v>
      </c>
      <c r="M41" s="13">
        <f>'[2]Oct-Dec''25'!N41+'[2]Apr-Sep''25'!N41</f>
        <v>326</v>
      </c>
      <c r="N41" s="13">
        <f>'[2]Oct-Dec''25'!O41+'[2]Apr-Sep''25'!O41</f>
        <v>319</v>
      </c>
      <c r="O41" s="8">
        <f t="shared" si="88"/>
        <v>0.9785276073619632</v>
      </c>
      <c r="P41" s="13">
        <f>'[2]Oct-Dec''25'!Q41+'[2]Apr-Sep''25'!Q41</f>
        <v>329</v>
      </c>
      <c r="Q41" s="13">
        <f>'[2]Oct-Dec''25'!R41+'[2]Apr-Sep''25'!R41</f>
        <v>259</v>
      </c>
      <c r="R41" s="8">
        <f t="shared" si="89"/>
        <v>0.78723404255319152</v>
      </c>
      <c r="S41" s="13">
        <f>'[2]Oct-Dec''25'!T41+'[2]Apr-Sep''25'!T41</f>
        <v>1887</v>
      </c>
      <c r="T41" s="13">
        <f>'[2]Oct-Dec''25'!U41+'[2]Apr-Sep''25'!U41</f>
        <v>1226</v>
      </c>
      <c r="U41" s="8">
        <f t="shared" si="90"/>
        <v>0.64970853206147328</v>
      </c>
      <c r="V41" s="13">
        <f>'[2]Oct-Dec''25'!W41+'[2]Apr-Sep''25'!W41</f>
        <v>1097</v>
      </c>
      <c r="W41" s="13">
        <f>'[2]Oct-Dec''25'!Y41+'[2]Apr-Sep''25'!Y41</f>
        <v>555</v>
      </c>
      <c r="X41" s="8">
        <f t="shared" si="91"/>
        <v>0.50592525068368277</v>
      </c>
      <c r="Y41" s="13">
        <f>'[2]Oct-Dec''25'!AA41+'[2]Apr-Sep''25'!AA41</f>
        <v>231</v>
      </c>
      <c r="Z41" s="13">
        <f>'[2]Oct-Dec''25'!AB41+'[2]Apr-Sep''25'!AB41</f>
        <v>231</v>
      </c>
      <c r="AA41" s="8">
        <f t="shared" si="92"/>
        <v>1</v>
      </c>
      <c r="AB41" s="13">
        <f>'[2]Oct-Dec''25'!AD41+'[2]Apr-Sep''25'!AD41</f>
        <v>170</v>
      </c>
      <c r="AC41" s="13">
        <f>'[2]Oct-Dec''25'!AE41+'[2]Apr-Sep''25'!AE41</f>
        <v>1</v>
      </c>
      <c r="AD41" s="8">
        <f t="shared" si="93"/>
        <v>5.8823529411764705E-3</v>
      </c>
      <c r="AE41" s="13">
        <f>'[2]Oct-Dec''25'!AJ41+'[2]Apr-Sep''25'!AJ41</f>
        <v>2043</v>
      </c>
      <c r="AF41" s="13">
        <f>'[2]Oct-Dec''25'!AK41+'[2]Apr-Sep''25'!AK41</f>
        <v>1068</v>
      </c>
      <c r="AG41" s="8">
        <f t="shared" si="94"/>
        <v>0.52276064610866368</v>
      </c>
      <c r="AH41" s="13">
        <f>'[2]Oct-Dec''25'!AM41+'[2]Apr-Sep''25'!AM41</f>
        <v>13</v>
      </c>
      <c r="AI41" s="13">
        <f>'[2]Oct-Dec''25'!AN41+'[2]Apr-Sep''25'!AN41</f>
        <v>13</v>
      </c>
      <c r="AJ41" s="8">
        <f t="shared" si="95"/>
        <v>1</v>
      </c>
      <c r="AK41" s="13">
        <f>'[2]Oct-Dec''25'!AP41+'[2]Apr-Sep''25'!AP41</f>
        <v>187</v>
      </c>
      <c r="AL41" s="13">
        <f>'[2]Oct-Dec''25'!AQ41+'[2]Apr-Sep''25'!AQ41</f>
        <v>21</v>
      </c>
      <c r="AM41" s="8">
        <f t="shared" si="96"/>
        <v>0.11229946524064172</v>
      </c>
      <c r="AN41" s="13">
        <f>'[2]Oct-Dec''25'!AS41+'[2]Apr-Sep''25'!AS41</f>
        <v>82</v>
      </c>
      <c r="AO41" s="13">
        <f>'[2]Oct-Dec''25'!AT41+'[2]Apr-Sep''25'!AT41</f>
        <v>82</v>
      </c>
      <c r="AP41" s="8">
        <f t="shared" si="97"/>
        <v>1</v>
      </c>
      <c r="AQ41" s="13">
        <f>'[2]Oct-Dec''25'!AV41+'[2]Apr-Sep''25'!AV41</f>
        <v>0</v>
      </c>
      <c r="AR41" s="13">
        <f>'[2]Oct-Dec''25'!AW41+'[2]Apr-Sep''25'!AW41</f>
        <v>0</v>
      </c>
      <c r="AS41" s="8" t="e">
        <f t="shared" si="98"/>
        <v>#DIV/0!</v>
      </c>
      <c r="AT41" s="13">
        <f>'[2]Oct-Dec''25'!AY41+'[2]Apr-Sep''25'!AY41</f>
        <v>55</v>
      </c>
      <c r="AU41" s="13">
        <f>'[2]Oct-Dec''25'!AZ41+'[2]Apr-Sep''25'!AZ41</f>
        <v>55</v>
      </c>
      <c r="AV41" s="8">
        <f t="shared" si="99"/>
        <v>1</v>
      </c>
      <c r="AW41" s="9">
        <f t="shared" si="100"/>
        <v>137</v>
      </c>
      <c r="AX41" s="9">
        <f t="shared" si="101"/>
        <v>137</v>
      </c>
      <c r="AY41" s="8">
        <f t="shared" si="102"/>
        <v>1</v>
      </c>
      <c r="AZ41" s="13">
        <f>'[2]Oct-Dec''25'!BB41+'[2]Apr-Sep''25'!BB41</f>
        <v>287</v>
      </c>
      <c r="BA41" s="13">
        <f>'[2]Oct-Dec''25'!BC41+'[2]Apr-Sep''25'!BC41</f>
        <v>91</v>
      </c>
      <c r="BB41" s="14">
        <f t="shared" si="103"/>
        <v>0.31707317073170732</v>
      </c>
      <c r="BC41" s="13">
        <f>'[2]Oct-Dec''25'!BE41+'[2]Apr-Sep''25'!BE41</f>
        <v>1</v>
      </c>
      <c r="BD41" s="13">
        <f>'[2]Oct-Dec''25'!BF41+'[2]Apr-Sep''25'!BF41</f>
        <v>1</v>
      </c>
      <c r="BE41" s="14">
        <f t="shared" si="104"/>
        <v>1</v>
      </c>
      <c r="BF41" s="13">
        <f>'[2]Oct-Dec''25'!BH41+'[2]Apr-Sep''25'!BH41</f>
        <v>6</v>
      </c>
      <c r="BG41" s="13">
        <f>'[2]Oct-Dec''25'!BI41+'[2]Apr-Sep''25'!BI41</f>
        <v>5</v>
      </c>
      <c r="BH41" s="14">
        <f t="shared" si="105"/>
        <v>0.83333333333333337</v>
      </c>
      <c r="BI41" s="13">
        <f>'[2]Oct-Dec''25'!BK41+'[2]Apr-Sep''25'!BK41</f>
        <v>1</v>
      </c>
      <c r="BJ41" s="13">
        <f>'[2]Oct-Dec''25'!BL41+'[2]Apr-Sep''25'!BL41</f>
        <v>2</v>
      </c>
      <c r="BK41" s="15">
        <f t="shared" si="106"/>
        <v>2</v>
      </c>
      <c r="BL41" s="13">
        <f>'[2]Oct-Dec''25'!BN41+'[2]Apr-Sep''25'!BN41</f>
        <v>0</v>
      </c>
      <c r="BM41" s="13">
        <f>'[2]Oct-Dec''25'!BO41+'[2]Apr-Sep''25'!BO41</f>
        <v>0</v>
      </c>
      <c r="BN41" s="15">
        <f t="shared" si="107"/>
        <v>0</v>
      </c>
      <c r="BO41" s="13">
        <f>'[2]Oct-Dec''25'!BQ41+'[2]Apr-Sep''25'!BQ41</f>
        <v>0</v>
      </c>
      <c r="BP41" s="13">
        <f>'[2]Oct-Dec''25'!BR41+'[2]Apr-Sep''25'!BR41</f>
        <v>0</v>
      </c>
      <c r="BQ41" s="15">
        <f t="shared" si="108"/>
        <v>0</v>
      </c>
      <c r="BR41" s="13">
        <f>'[2]Oct-Dec''25'!BT41+'[2]Apr-Sep''25'!BT41</f>
        <v>0</v>
      </c>
      <c r="BS41" s="13">
        <f>'[2]Oct-Dec''25'!BU41+'[2]Apr-Sep''25'!BU41</f>
        <v>0</v>
      </c>
      <c r="BT41" s="14">
        <f t="shared" si="109"/>
        <v>0</v>
      </c>
      <c r="BU41" s="13">
        <f>'[2]Oct-Dec''25'!BW41+'[2]Apr-Sep''25'!BW41</f>
        <v>0</v>
      </c>
      <c r="BV41" s="13">
        <f>'[2]Oct-Dec''25'!BX41+'[2]Apr-Sep''25'!BX41</f>
        <v>0</v>
      </c>
      <c r="BW41" s="14">
        <f t="shared" si="110"/>
        <v>0</v>
      </c>
      <c r="BX41" s="13">
        <f>'[2]Oct-Dec''25'!BZ41+'[2]Apr-Sep''25'!BZ41</f>
        <v>245</v>
      </c>
      <c r="BY41" s="13">
        <f>'[2]Oct-Dec''25'!CA41+'[2]Apr-Sep''25'!CA41</f>
        <v>245</v>
      </c>
      <c r="BZ41" s="14">
        <f t="shared" si="111"/>
        <v>1</v>
      </c>
      <c r="CA41" s="13">
        <f>'[2]Oct-Dec''25'!CC41+'[2]Apr-Sep''25'!CC41</f>
        <v>16</v>
      </c>
      <c r="CB41" s="13">
        <f>'[2]Oct-Dec''25'!CD41+'[2]Apr-Sep''25'!CD41</f>
        <v>57</v>
      </c>
      <c r="CC41" s="14">
        <f t="shared" si="112"/>
        <v>3.5625</v>
      </c>
      <c r="CD41" s="13">
        <f>'[2]Oct-Dec''25'!CF41+'[2]Apr-Sep''25'!CF41</f>
        <v>4</v>
      </c>
      <c r="CE41" s="13">
        <f>'[2]Oct-Dec''25'!CG41+'[2]Apr-Sep''25'!CG41</f>
        <v>4</v>
      </c>
      <c r="CF41" s="14">
        <f t="shared" si="113"/>
        <v>1</v>
      </c>
    </row>
    <row r="42" spans="1:84" ht="48" x14ac:dyDescent="0.25">
      <c r="A42" s="12">
        <f>'[2]Oct-Dec''25'!A42</f>
        <v>36</v>
      </c>
      <c r="B42" s="12" t="str">
        <f>'[2]Oct-Dec''25'!B42</f>
        <v>YRG Care</v>
      </c>
      <c r="C42" s="1" t="str">
        <f>'[2]Oct-Dec''25'!C42</f>
        <v>Rajasthan</v>
      </c>
      <c r="D42" s="3" t="str">
        <f>'[2]Oct-Dec''25'!D42</f>
        <v>RAJSMAND NETWORK FOR PEOPLE LIVING WITH HIV SANSTHAN, UDAIPUR</v>
      </c>
      <c r="E42" s="1" t="str">
        <f>'[2]Oct-Dec''25'!E42</f>
        <v>UDAIPUR</v>
      </c>
      <c r="F42" s="12" t="s">
        <v>85</v>
      </c>
      <c r="G42" s="13">
        <f>'[2]Oct-Dec''25'!H42+'[2]Apr-Sep''25'!H42</f>
        <v>420</v>
      </c>
      <c r="H42" s="13">
        <f>'[2]Oct-Dec''25'!I42+'[2]Apr-Sep''25'!I42</f>
        <v>290</v>
      </c>
      <c r="I42" s="7">
        <f t="shared" si="87"/>
        <v>0.69047619047619047</v>
      </c>
      <c r="J42" s="13">
        <f>'[2]Oct-Dec''25'!K42+'[2]Apr-Sep''25'!K42</f>
        <v>0</v>
      </c>
      <c r="K42" s="13">
        <f>'[2]Oct-Dec''25'!L42+'[2]Apr-Sep''25'!L42</f>
        <v>0</v>
      </c>
      <c r="L42" s="7"/>
      <c r="M42" s="13">
        <f>'[2]Oct-Dec''25'!N42+'[2]Apr-Sep''25'!N42</f>
        <v>409</v>
      </c>
      <c r="N42" s="13">
        <f>'[2]Oct-Dec''25'!O42+'[2]Apr-Sep''25'!O42</f>
        <v>306</v>
      </c>
      <c r="O42" s="8">
        <f t="shared" si="88"/>
        <v>0.74816625916870416</v>
      </c>
      <c r="P42" s="13">
        <f>'[2]Oct-Dec''25'!Q42+'[2]Apr-Sep''25'!Q42</f>
        <v>345</v>
      </c>
      <c r="Q42" s="13">
        <f>'[2]Oct-Dec''25'!R42+'[2]Apr-Sep''25'!R42</f>
        <v>307</v>
      </c>
      <c r="R42" s="8">
        <f t="shared" si="89"/>
        <v>0.88985507246376816</v>
      </c>
      <c r="S42" s="13">
        <f>'[2]Oct-Dec''25'!T42+'[2]Apr-Sep''25'!T42</f>
        <v>1285</v>
      </c>
      <c r="T42" s="13">
        <f>'[2]Oct-Dec''25'!U42+'[2]Apr-Sep''25'!U42</f>
        <v>843</v>
      </c>
      <c r="U42" s="8">
        <f t="shared" si="90"/>
        <v>0.65603112840466926</v>
      </c>
      <c r="V42" s="13">
        <f>'[2]Oct-Dec''25'!W42+'[2]Apr-Sep''25'!W42</f>
        <v>1213</v>
      </c>
      <c r="W42" s="13">
        <f>'[2]Oct-Dec''25'!Y42+'[2]Apr-Sep''25'!Y42</f>
        <v>740</v>
      </c>
      <c r="X42" s="8">
        <f t="shared" si="91"/>
        <v>0.61005770816158289</v>
      </c>
      <c r="Y42" s="13">
        <f>'[2]Oct-Dec''25'!AA42+'[2]Apr-Sep''25'!AA42</f>
        <v>240</v>
      </c>
      <c r="Z42" s="13">
        <f>'[2]Oct-Dec''25'!AB42+'[2]Apr-Sep''25'!AB42</f>
        <v>48</v>
      </c>
      <c r="AA42" s="8">
        <f t="shared" si="92"/>
        <v>0.2</v>
      </c>
      <c r="AB42" s="13">
        <f>'[2]Oct-Dec''25'!AD42+'[2]Apr-Sep''25'!AD42</f>
        <v>9</v>
      </c>
      <c r="AC42" s="13">
        <f>'[2]Oct-Dec''25'!AE42+'[2]Apr-Sep''25'!AE42</f>
        <v>0</v>
      </c>
      <c r="AD42" s="8">
        <f t="shared" si="93"/>
        <v>0</v>
      </c>
      <c r="AE42" s="13">
        <f>'[2]Oct-Dec''25'!AJ42+'[2]Apr-Sep''25'!AJ42</f>
        <v>1696</v>
      </c>
      <c r="AF42" s="13">
        <f>'[2]Oct-Dec''25'!AK42+'[2]Apr-Sep''25'!AK42</f>
        <v>902</v>
      </c>
      <c r="AG42" s="8">
        <f t="shared" si="94"/>
        <v>0.53183962264150941</v>
      </c>
      <c r="AH42" s="13">
        <f>'[2]Oct-Dec''25'!AM42+'[2]Apr-Sep''25'!AM42</f>
        <v>4</v>
      </c>
      <c r="AI42" s="13">
        <f>'[2]Oct-Dec''25'!AN42+'[2]Apr-Sep''25'!AN42</f>
        <v>2</v>
      </c>
      <c r="AJ42" s="8">
        <f t="shared" si="95"/>
        <v>0.5</v>
      </c>
      <c r="AK42" s="13">
        <f>'[2]Oct-Dec''25'!AP42+'[2]Apr-Sep''25'!AP42</f>
        <v>681</v>
      </c>
      <c r="AL42" s="13">
        <f>'[2]Oct-Dec''25'!AQ42+'[2]Apr-Sep''25'!AQ42</f>
        <v>233</v>
      </c>
      <c r="AM42" s="8">
        <f t="shared" si="96"/>
        <v>0.342143906020558</v>
      </c>
      <c r="AN42" s="13">
        <f>'[2]Oct-Dec''25'!AS42+'[2]Apr-Sep''25'!AS42</f>
        <v>20</v>
      </c>
      <c r="AO42" s="13">
        <f>'[2]Oct-Dec''25'!AT42+'[2]Apr-Sep''25'!AT42</f>
        <v>2</v>
      </c>
      <c r="AP42" s="8">
        <f t="shared" si="97"/>
        <v>0.1</v>
      </c>
      <c r="AQ42" s="13">
        <f>'[2]Oct-Dec''25'!AV42+'[2]Apr-Sep''25'!AV42</f>
        <v>0</v>
      </c>
      <c r="AR42" s="13">
        <f>'[2]Oct-Dec''25'!AW42+'[2]Apr-Sep''25'!AW42</f>
        <v>0</v>
      </c>
      <c r="AS42" s="8" t="e">
        <f t="shared" si="98"/>
        <v>#DIV/0!</v>
      </c>
      <c r="AT42" s="13">
        <f>'[2]Oct-Dec''25'!AY42+'[2]Apr-Sep''25'!AY42</f>
        <v>18</v>
      </c>
      <c r="AU42" s="13">
        <f>'[2]Oct-Dec''25'!AZ42+'[2]Apr-Sep''25'!AZ42</f>
        <v>0</v>
      </c>
      <c r="AV42" s="8">
        <f t="shared" si="99"/>
        <v>0</v>
      </c>
      <c r="AW42" s="9">
        <f t="shared" si="100"/>
        <v>38</v>
      </c>
      <c r="AX42" s="9">
        <f t="shared" si="101"/>
        <v>2</v>
      </c>
      <c r="AY42" s="8">
        <f t="shared" si="102"/>
        <v>5.2631578947368418E-2</v>
      </c>
      <c r="AZ42" s="13">
        <f>'[2]Oct-Dec''25'!BB42+'[2]Apr-Sep''25'!BB42</f>
        <v>1</v>
      </c>
      <c r="BA42" s="13">
        <f>'[2]Oct-Dec''25'!BC42+'[2]Apr-Sep''25'!BC42</f>
        <v>15</v>
      </c>
      <c r="BB42" s="14">
        <f t="shared" si="103"/>
        <v>15</v>
      </c>
      <c r="BC42" s="13">
        <f>'[2]Oct-Dec''25'!BE42+'[2]Apr-Sep''25'!BE42</f>
        <v>5</v>
      </c>
      <c r="BD42" s="13">
        <f>'[2]Oct-Dec''25'!BF42+'[2]Apr-Sep''25'!BF42</f>
        <v>5</v>
      </c>
      <c r="BE42" s="14">
        <f t="shared" si="104"/>
        <v>1</v>
      </c>
      <c r="BF42" s="13">
        <f>'[2]Oct-Dec''25'!BH42+'[2]Apr-Sep''25'!BH42</f>
        <v>0</v>
      </c>
      <c r="BG42" s="13">
        <f>'[2]Oct-Dec''25'!BI42+'[2]Apr-Sep''25'!BI42</f>
        <v>0</v>
      </c>
      <c r="BH42" s="14">
        <f t="shared" si="105"/>
        <v>0</v>
      </c>
      <c r="BI42" s="13">
        <f>'[2]Oct-Dec''25'!BK42+'[2]Apr-Sep''25'!BK42</f>
        <v>0</v>
      </c>
      <c r="BJ42" s="13">
        <f>'[2]Oct-Dec''25'!BL42+'[2]Apr-Sep''25'!BL42</f>
        <v>0</v>
      </c>
      <c r="BK42" s="15">
        <f t="shared" si="106"/>
        <v>0</v>
      </c>
      <c r="BL42" s="13">
        <f>'[2]Oct-Dec''25'!BN42+'[2]Apr-Sep''25'!BN42</f>
        <v>0</v>
      </c>
      <c r="BM42" s="13">
        <f>'[2]Oct-Dec''25'!BO42+'[2]Apr-Sep''25'!BO42</f>
        <v>0</v>
      </c>
      <c r="BN42" s="15">
        <f t="shared" si="107"/>
        <v>0</v>
      </c>
      <c r="BO42" s="13">
        <f>'[2]Oct-Dec''25'!BQ42+'[2]Apr-Sep''25'!BQ42</f>
        <v>0</v>
      </c>
      <c r="BP42" s="13">
        <f>'[2]Oct-Dec''25'!BR42+'[2]Apr-Sep''25'!BR42</f>
        <v>0</v>
      </c>
      <c r="BQ42" s="15">
        <f t="shared" si="108"/>
        <v>0</v>
      </c>
      <c r="BR42" s="13">
        <f>'[2]Oct-Dec''25'!BT42+'[2]Apr-Sep''25'!BT42</f>
        <v>0</v>
      </c>
      <c r="BS42" s="13">
        <f>'[2]Oct-Dec''25'!BU42+'[2]Apr-Sep''25'!BU42</f>
        <v>0</v>
      </c>
      <c r="BT42" s="14">
        <f t="shared" si="109"/>
        <v>0</v>
      </c>
      <c r="BU42" s="13">
        <f>'[2]Oct-Dec''25'!BW42+'[2]Apr-Sep''25'!BW42</f>
        <v>0</v>
      </c>
      <c r="BV42" s="13">
        <f>'[2]Oct-Dec''25'!BX42+'[2]Apr-Sep''25'!BX42</f>
        <v>0</v>
      </c>
      <c r="BW42" s="14">
        <f t="shared" si="110"/>
        <v>0</v>
      </c>
      <c r="BX42" s="13">
        <f>'[2]Oct-Dec''25'!BZ42+'[2]Apr-Sep''25'!BZ42</f>
        <v>290</v>
      </c>
      <c r="BY42" s="13">
        <f>'[2]Oct-Dec''25'!CA42+'[2]Apr-Sep''25'!CA42</f>
        <v>291</v>
      </c>
      <c r="BZ42" s="14">
        <f t="shared" si="111"/>
        <v>1.0034482758620689</v>
      </c>
      <c r="CA42" s="13">
        <f>'[2]Oct-Dec''25'!CC42+'[2]Apr-Sep''25'!CC42</f>
        <v>51</v>
      </c>
      <c r="CB42" s="13">
        <f>'[2]Oct-Dec''25'!CD42+'[2]Apr-Sep''25'!CD42</f>
        <v>55</v>
      </c>
      <c r="CC42" s="14">
        <f t="shared" si="112"/>
        <v>1.0784313725490196</v>
      </c>
      <c r="CD42" s="13">
        <f>'[2]Oct-Dec''25'!CF42+'[2]Apr-Sep''25'!CF42</f>
        <v>0</v>
      </c>
      <c r="CE42" s="13">
        <f>'[2]Oct-Dec''25'!CG42+'[2]Apr-Sep''25'!CG42</f>
        <v>0</v>
      </c>
      <c r="CF42" s="14">
        <f t="shared" si="113"/>
        <v>0</v>
      </c>
    </row>
    <row r="43" spans="1:84" ht="48" x14ac:dyDescent="0.25">
      <c r="A43" s="12">
        <f>'[2]Oct-Dec''25'!A43</f>
        <v>37</v>
      </c>
      <c r="B43" s="12" t="str">
        <f>'[2]Oct-Dec''25'!B43</f>
        <v>YRG Care</v>
      </c>
      <c r="C43" s="1" t="str">
        <f>'[2]Oct-Dec''25'!C43</f>
        <v>Rajasthan</v>
      </c>
      <c r="D43" s="3" t="str">
        <f>'[2]Oct-Dec''25'!D43</f>
        <v>JEEVAN PRAKASH NETWORK PEOPLE LIVING WITH POSITIVE SANSTHAN</v>
      </c>
      <c r="E43" s="1" t="str">
        <f>'[2]Oct-Dec''25'!E43</f>
        <v>AJMER</v>
      </c>
      <c r="F43" s="12" t="s">
        <v>85</v>
      </c>
      <c r="G43" s="13">
        <f>'[2]Oct-Dec''25'!H43+'[2]Apr-Sep''25'!H43</f>
        <v>269</v>
      </c>
      <c r="H43" s="13">
        <f>'[2]Oct-Dec''25'!I43+'[2]Apr-Sep''25'!I43</f>
        <v>262</v>
      </c>
      <c r="I43" s="7">
        <f t="shared" si="87"/>
        <v>0.97397769516728627</v>
      </c>
      <c r="J43" s="13">
        <f>'[2]Oct-Dec''25'!K43+'[2]Apr-Sep''25'!K43</f>
        <v>11</v>
      </c>
      <c r="K43" s="13">
        <f>'[2]Oct-Dec''25'!L43+'[2]Apr-Sep''25'!L43</f>
        <v>5</v>
      </c>
      <c r="L43" s="7">
        <f>K43/J43</f>
        <v>0.45454545454545453</v>
      </c>
      <c r="M43" s="13">
        <f>'[2]Oct-Dec''25'!N43+'[2]Apr-Sep''25'!N43</f>
        <v>293</v>
      </c>
      <c r="N43" s="13">
        <f>'[2]Oct-Dec''25'!O43+'[2]Apr-Sep''25'!O43</f>
        <v>293</v>
      </c>
      <c r="O43" s="8">
        <f t="shared" si="88"/>
        <v>1</v>
      </c>
      <c r="P43" s="13">
        <f>'[2]Oct-Dec''25'!Q43+'[2]Apr-Sep''25'!Q43</f>
        <v>221</v>
      </c>
      <c r="Q43" s="13">
        <f>'[2]Oct-Dec''25'!R43+'[2]Apr-Sep''25'!R43</f>
        <v>180</v>
      </c>
      <c r="R43" s="8">
        <f t="shared" si="89"/>
        <v>0.81447963800904977</v>
      </c>
      <c r="S43" s="13">
        <f>'[2]Oct-Dec''25'!T43+'[2]Apr-Sep''25'!T43</f>
        <v>3457</v>
      </c>
      <c r="T43" s="13">
        <f>'[2]Oct-Dec''25'!U43+'[2]Apr-Sep''25'!U43</f>
        <v>2462</v>
      </c>
      <c r="U43" s="8">
        <f t="shared" si="90"/>
        <v>0.7121781891813711</v>
      </c>
      <c r="V43" s="13">
        <f>'[2]Oct-Dec''25'!W43+'[2]Apr-Sep''25'!W43</f>
        <v>1136</v>
      </c>
      <c r="W43" s="13">
        <f>'[2]Oct-Dec''25'!Y43+'[2]Apr-Sep''25'!Y43</f>
        <v>682</v>
      </c>
      <c r="X43" s="8">
        <f t="shared" si="91"/>
        <v>0.60035211267605637</v>
      </c>
      <c r="Y43" s="13">
        <f>'[2]Oct-Dec''25'!AA43+'[2]Apr-Sep''25'!AA43</f>
        <v>26</v>
      </c>
      <c r="Z43" s="13">
        <f>'[2]Oct-Dec''25'!AB43+'[2]Apr-Sep''25'!AB43</f>
        <v>26</v>
      </c>
      <c r="AA43" s="8">
        <f t="shared" si="92"/>
        <v>1</v>
      </c>
      <c r="AB43" s="13">
        <f>'[2]Oct-Dec''25'!AD43+'[2]Apr-Sep''25'!AD43</f>
        <v>0</v>
      </c>
      <c r="AC43" s="13">
        <f>'[2]Oct-Dec''25'!AE43+'[2]Apr-Sep''25'!AE43</f>
        <v>0</v>
      </c>
      <c r="AD43" s="8" t="e">
        <f t="shared" si="93"/>
        <v>#DIV/0!</v>
      </c>
      <c r="AE43" s="13">
        <f>'[2]Oct-Dec''25'!AJ43+'[2]Apr-Sep''25'!AJ43</f>
        <v>232</v>
      </c>
      <c r="AF43" s="13">
        <f>'[2]Oct-Dec''25'!AK43+'[2]Apr-Sep''25'!AK43</f>
        <v>232</v>
      </c>
      <c r="AG43" s="8">
        <f t="shared" si="94"/>
        <v>1</v>
      </c>
      <c r="AH43" s="13">
        <f>'[2]Oct-Dec''25'!AM43+'[2]Apr-Sep''25'!AM43</f>
        <v>0</v>
      </c>
      <c r="AI43" s="13">
        <f>'[2]Oct-Dec''25'!AN43+'[2]Apr-Sep''25'!AN43</f>
        <v>0</v>
      </c>
      <c r="AJ43" s="8" t="e">
        <f t="shared" si="95"/>
        <v>#DIV/0!</v>
      </c>
      <c r="AK43" s="13">
        <f>'[2]Oct-Dec''25'!AP43+'[2]Apr-Sep''25'!AP43</f>
        <v>163</v>
      </c>
      <c r="AL43" s="13">
        <f>'[2]Oct-Dec''25'!AQ43+'[2]Apr-Sep''25'!AQ43</f>
        <v>163</v>
      </c>
      <c r="AM43" s="8">
        <f t="shared" si="96"/>
        <v>1</v>
      </c>
      <c r="AN43" s="13">
        <f>'[2]Oct-Dec''25'!AS43+'[2]Apr-Sep''25'!AS43</f>
        <v>53</v>
      </c>
      <c r="AO43" s="13">
        <f>'[2]Oct-Dec''25'!AT43+'[2]Apr-Sep''25'!AT43</f>
        <v>0</v>
      </c>
      <c r="AP43" s="8">
        <f t="shared" si="97"/>
        <v>0</v>
      </c>
      <c r="AQ43" s="13">
        <f>'[2]Oct-Dec''25'!AV43+'[2]Apr-Sep''25'!AV43</f>
        <v>0</v>
      </c>
      <c r="AR43" s="13">
        <f>'[2]Oct-Dec''25'!AW43+'[2]Apr-Sep''25'!AW43</f>
        <v>0</v>
      </c>
      <c r="AS43" s="8" t="e">
        <f t="shared" si="98"/>
        <v>#DIV/0!</v>
      </c>
      <c r="AT43" s="13">
        <f>'[2]Oct-Dec''25'!AY43+'[2]Apr-Sep''25'!AY43</f>
        <v>88</v>
      </c>
      <c r="AU43" s="13">
        <f>'[2]Oct-Dec''25'!AZ43+'[2]Apr-Sep''25'!AZ43</f>
        <v>0</v>
      </c>
      <c r="AV43" s="8">
        <f t="shared" si="99"/>
        <v>0</v>
      </c>
      <c r="AW43" s="9">
        <f t="shared" si="100"/>
        <v>141</v>
      </c>
      <c r="AX43" s="9">
        <f t="shared" si="101"/>
        <v>0</v>
      </c>
      <c r="AY43" s="8">
        <f t="shared" si="102"/>
        <v>0</v>
      </c>
      <c r="AZ43" s="13">
        <f>'[2]Oct-Dec''25'!BB43+'[2]Apr-Sep''25'!BB43</f>
        <v>28</v>
      </c>
      <c r="BA43" s="13">
        <f>'[2]Oct-Dec''25'!BC43+'[2]Apr-Sep''25'!BC43</f>
        <v>31</v>
      </c>
      <c r="BB43" s="14">
        <f t="shared" si="103"/>
        <v>1.1071428571428572</v>
      </c>
      <c r="BC43" s="13">
        <f>'[2]Oct-Dec''25'!BE43+'[2]Apr-Sep''25'!BE43</f>
        <v>0</v>
      </c>
      <c r="BD43" s="13">
        <f>'[2]Oct-Dec''25'!BF43+'[2]Apr-Sep''25'!BF43</f>
        <v>0</v>
      </c>
      <c r="BE43" s="14">
        <f t="shared" si="104"/>
        <v>0</v>
      </c>
      <c r="BF43" s="13">
        <f>'[2]Oct-Dec''25'!BH43+'[2]Apr-Sep''25'!BH43</f>
        <v>2</v>
      </c>
      <c r="BG43" s="13">
        <f>'[2]Oct-Dec''25'!BI43+'[2]Apr-Sep''25'!BI43</f>
        <v>2</v>
      </c>
      <c r="BH43" s="14">
        <f t="shared" si="105"/>
        <v>1</v>
      </c>
      <c r="BI43" s="13">
        <f>'[2]Oct-Dec''25'!BK43+'[2]Apr-Sep''25'!BK43</f>
        <v>0</v>
      </c>
      <c r="BJ43" s="13">
        <f>'[2]Oct-Dec''25'!BL43+'[2]Apr-Sep''25'!BL43</f>
        <v>0</v>
      </c>
      <c r="BK43" s="15">
        <f t="shared" si="106"/>
        <v>0</v>
      </c>
      <c r="BL43" s="13">
        <f>'[2]Oct-Dec''25'!BN43+'[2]Apr-Sep''25'!BN43</f>
        <v>2</v>
      </c>
      <c r="BM43" s="13">
        <f>'[2]Oct-Dec''25'!BO43+'[2]Apr-Sep''25'!BO43</f>
        <v>2</v>
      </c>
      <c r="BN43" s="15">
        <f t="shared" si="107"/>
        <v>1</v>
      </c>
      <c r="BO43" s="13">
        <f>'[2]Oct-Dec''25'!BQ43+'[2]Apr-Sep''25'!BQ43</f>
        <v>1</v>
      </c>
      <c r="BP43" s="13">
        <f>'[2]Oct-Dec''25'!BR43+'[2]Apr-Sep''25'!BR43</f>
        <v>1</v>
      </c>
      <c r="BQ43" s="15">
        <f t="shared" si="108"/>
        <v>1</v>
      </c>
      <c r="BR43" s="13">
        <f>'[2]Oct-Dec''25'!BT43+'[2]Apr-Sep''25'!BT43</f>
        <v>3</v>
      </c>
      <c r="BS43" s="13">
        <f>'[2]Oct-Dec''25'!BU43+'[2]Apr-Sep''25'!BU43</f>
        <v>2</v>
      </c>
      <c r="BT43" s="14">
        <f t="shared" si="109"/>
        <v>0.66666666666666663</v>
      </c>
      <c r="BU43" s="13">
        <f>'[2]Oct-Dec''25'!BW43+'[2]Apr-Sep''25'!BW43</f>
        <v>0</v>
      </c>
      <c r="BV43" s="13">
        <f>'[2]Oct-Dec''25'!BX43+'[2]Apr-Sep''25'!BX43</f>
        <v>0</v>
      </c>
      <c r="BW43" s="14">
        <f t="shared" si="110"/>
        <v>0</v>
      </c>
      <c r="BX43" s="13">
        <f>'[2]Oct-Dec''25'!BZ43+'[2]Apr-Sep''25'!BZ43</f>
        <v>262</v>
      </c>
      <c r="BY43" s="13">
        <f>'[2]Oct-Dec''25'!CA43+'[2]Apr-Sep''25'!CA43</f>
        <v>262</v>
      </c>
      <c r="BZ43" s="14">
        <f t="shared" si="111"/>
        <v>1</v>
      </c>
      <c r="CA43" s="13">
        <f>'[2]Oct-Dec''25'!CC43+'[2]Apr-Sep''25'!CC43</f>
        <v>85</v>
      </c>
      <c r="CB43" s="13">
        <f>'[2]Oct-Dec''25'!CD43+'[2]Apr-Sep''25'!CD43</f>
        <v>85</v>
      </c>
      <c r="CC43" s="14">
        <f t="shared" si="112"/>
        <v>1</v>
      </c>
      <c r="CD43" s="13">
        <f>'[2]Oct-Dec''25'!CF43+'[2]Apr-Sep''25'!CF43</f>
        <v>0</v>
      </c>
      <c r="CE43" s="13">
        <f>'[2]Oct-Dec''25'!CG43+'[2]Apr-Sep''25'!CG43</f>
        <v>0</v>
      </c>
      <c r="CF43" s="14">
        <f t="shared" si="113"/>
        <v>0</v>
      </c>
    </row>
    <row r="44" spans="1:84" ht="24" x14ac:dyDescent="0.25">
      <c r="A44" s="12">
        <f>'[2]Oct-Dec''25'!A44</f>
        <v>38</v>
      </c>
      <c r="B44" s="12" t="str">
        <f>'[2]Oct-Dec''25'!B44</f>
        <v>YRG Care</v>
      </c>
      <c r="C44" s="1" t="str">
        <f>'[2]Oct-Dec''25'!C44</f>
        <v>Rajasthan</v>
      </c>
      <c r="D44" s="3" t="str">
        <f>'[2]Oct-Dec''25'!D44</f>
        <v>SIKAR NETWORK FOR PLHIV SANSTHAN</v>
      </c>
      <c r="E44" s="1" t="str">
        <f>'[2]Oct-Dec''25'!E44</f>
        <v>SIKAR</v>
      </c>
      <c r="F44" s="12" t="s">
        <v>85</v>
      </c>
      <c r="G44" s="13">
        <f>'[2]Oct-Dec''25'!H44+'[2]Apr-Sep''25'!H44</f>
        <v>267</v>
      </c>
      <c r="H44" s="13">
        <f>'[2]Oct-Dec''25'!I44+'[2]Apr-Sep''25'!I44</f>
        <v>240</v>
      </c>
      <c r="I44" s="7">
        <f t="shared" si="87"/>
        <v>0.898876404494382</v>
      </c>
      <c r="J44" s="13">
        <f>'[2]Oct-Dec''25'!K44+'[2]Apr-Sep''25'!K44</f>
        <v>3</v>
      </c>
      <c r="K44" s="13">
        <f>'[2]Oct-Dec''25'!L44+'[2]Apr-Sep''25'!L44</f>
        <v>2</v>
      </c>
      <c r="L44" s="7">
        <f>K44/J44</f>
        <v>0.66666666666666663</v>
      </c>
      <c r="M44" s="13">
        <f>'[2]Oct-Dec''25'!N44+'[2]Apr-Sep''25'!N44</f>
        <v>222</v>
      </c>
      <c r="N44" s="13">
        <f>'[2]Oct-Dec''25'!O44+'[2]Apr-Sep''25'!O44</f>
        <v>222</v>
      </c>
      <c r="O44" s="8">
        <f t="shared" si="88"/>
        <v>1</v>
      </c>
      <c r="P44" s="13">
        <f>'[2]Oct-Dec''25'!Q44+'[2]Apr-Sep''25'!Q44</f>
        <v>180</v>
      </c>
      <c r="Q44" s="13">
        <f>'[2]Oct-Dec''25'!R44+'[2]Apr-Sep''25'!R44</f>
        <v>172</v>
      </c>
      <c r="R44" s="8">
        <f t="shared" si="89"/>
        <v>0.9555555555555556</v>
      </c>
      <c r="S44" s="13">
        <f>'[2]Oct-Dec''25'!T44+'[2]Apr-Sep''25'!T44</f>
        <v>1351</v>
      </c>
      <c r="T44" s="13">
        <f>'[2]Oct-Dec''25'!U44+'[2]Apr-Sep''25'!U44</f>
        <v>1219</v>
      </c>
      <c r="U44" s="8">
        <f t="shared" si="90"/>
        <v>0.90229459659511468</v>
      </c>
      <c r="V44" s="13">
        <f>'[2]Oct-Dec''25'!W44+'[2]Apr-Sep''25'!W44</f>
        <v>170</v>
      </c>
      <c r="W44" s="13">
        <f>'[2]Oct-Dec''25'!Y44+'[2]Apr-Sep''25'!Y44</f>
        <v>134</v>
      </c>
      <c r="X44" s="8">
        <f t="shared" si="91"/>
        <v>0.78823529411764703</v>
      </c>
      <c r="Y44" s="13">
        <f>'[2]Oct-Dec''25'!AA44+'[2]Apr-Sep''25'!AA44</f>
        <v>287</v>
      </c>
      <c r="Z44" s="13">
        <f>'[2]Oct-Dec''25'!AB44+'[2]Apr-Sep''25'!AB44</f>
        <v>287</v>
      </c>
      <c r="AA44" s="8">
        <f t="shared" si="92"/>
        <v>1</v>
      </c>
      <c r="AB44" s="13">
        <f>'[2]Oct-Dec''25'!AD44+'[2]Apr-Sep''25'!AD44</f>
        <v>177</v>
      </c>
      <c r="AC44" s="13">
        <f>'[2]Oct-Dec''25'!AE44+'[2]Apr-Sep''25'!AE44</f>
        <v>22</v>
      </c>
      <c r="AD44" s="8">
        <f t="shared" si="93"/>
        <v>0.12429378531073447</v>
      </c>
      <c r="AE44" s="13">
        <f>'[2]Oct-Dec''25'!AJ44+'[2]Apr-Sep''25'!AJ44</f>
        <v>898</v>
      </c>
      <c r="AF44" s="13">
        <f>'[2]Oct-Dec''25'!AK44+'[2]Apr-Sep''25'!AK44</f>
        <v>715</v>
      </c>
      <c r="AG44" s="8">
        <f t="shared" si="94"/>
        <v>0.79621380846325163</v>
      </c>
      <c r="AH44" s="13">
        <f>'[2]Oct-Dec''25'!AM44+'[2]Apr-Sep''25'!AM44</f>
        <v>10</v>
      </c>
      <c r="AI44" s="13">
        <f>'[2]Oct-Dec''25'!AN44+'[2]Apr-Sep''25'!AN44</f>
        <v>9</v>
      </c>
      <c r="AJ44" s="8">
        <f t="shared" si="95"/>
        <v>0.9</v>
      </c>
      <c r="AK44" s="13">
        <f>'[2]Oct-Dec''25'!AP44+'[2]Apr-Sep''25'!AP44</f>
        <v>517</v>
      </c>
      <c r="AL44" s="13">
        <f>'[2]Oct-Dec''25'!AQ44+'[2]Apr-Sep''25'!AQ44</f>
        <v>321</v>
      </c>
      <c r="AM44" s="8">
        <f t="shared" si="96"/>
        <v>0.620889748549323</v>
      </c>
      <c r="AN44" s="13">
        <f>'[2]Oct-Dec''25'!AS44+'[2]Apr-Sep''25'!AS44</f>
        <v>22</v>
      </c>
      <c r="AO44" s="13">
        <f>'[2]Oct-Dec''25'!AT44+'[2]Apr-Sep''25'!AT44</f>
        <v>12</v>
      </c>
      <c r="AP44" s="8">
        <f t="shared" si="97"/>
        <v>0.54545454545454541</v>
      </c>
      <c r="AQ44" s="13">
        <f>'[2]Oct-Dec''25'!AV44+'[2]Apr-Sep''25'!AV44</f>
        <v>0</v>
      </c>
      <c r="AR44" s="13">
        <f>'[2]Oct-Dec''25'!AW44+'[2]Apr-Sep''25'!AW44</f>
        <v>0</v>
      </c>
      <c r="AS44" s="8" t="e">
        <f t="shared" si="98"/>
        <v>#DIV/0!</v>
      </c>
      <c r="AT44" s="13">
        <f>'[2]Oct-Dec''25'!AY44+'[2]Apr-Sep''25'!AY44</f>
        <v>20</v>
      </c>
      <c r="AU44" s="13">
        <f>'[2]Oct-Dec''25'!AZ44+'[2]Apr-Sep''25'!AZ44</f>
        <v>13</v>
      </c>
      <c r="AV44" s="8">
        <f t="shared" si="99"/>
        <v>0.65</v>
      </c>
      <c r="AW44" s="9">
        <f t="shared" si="100"/>
        <v>42</v>
      </c>
      <c r="AX44" s="9">
        <f t="shared" si="101"/>
        <v>25</v>
      </c>
      <c r="AY44" s="8">
        <f t="shared" si="102"/>
        <v>0.59523809523809523</v>
      </c>
      <c r="AZ44" s="13">
        <f>'[2]Oct-Dec''25'!BB44+'[2]Apr-Sep''25'!BB44</f>
        <v>0</v>
      </c>
      <c r="BA44" s="13">
        <f>'[2]Oct-Dec''25'!BC44+'[2]Apr-Sep''25'!BC44</f>
        <v>134</v>
      </c>
      <c r="BB44" s="14">
        <f t="shared" si="103"/>
        <v>0</v>
      </c>
      <c r="BC44" s="13">
        <f>'[2]Oct-Dec''25'!BE44+'[2]Apr-Sep''25'!BE44</f>
        <v>1</v>
      </c>
      <c r="BD44" s="13">
        <f>'[2]Oct-Dec''25'!BF44+'[2]Apr-Sep''25'!BF44</f>
        <v>0</v>
      </c>
      <c r="BE44" s="14">
        <f t="shared" si="104"/>
        <v>0</v>
      </c>
      <c r="BF44" s="13">
        <f>'[2]Oct-Dec''25'!BH44+'[2]Apr-Sep''25'!BH44</f>
        <v>15</v>
      </c>
      <c r="BG44" s="13">
        <f>'[2]Oct-Dec''25'!BI44+'[2]Apr-Sep''25'!BI44</f>
        <v>14</v>
      </c>
      <c r="BH44" s="14">
        <f t="shared" si="105"/>
        <v>0.93333333333333335</v>
      </c>
      <c r="BI44" s="13">
        <f>'[2]Oct-Dec''25'!BK44+'[2]Apr-Sep''25'!BK44</f>
        <v>12</v>
      </c>
      <c r="BJ44" s="13">
        <f>'[2]Oct-Dec''25'!BL44+'[2]Apr-Sep''25'!BL44</f>
        <v>12</v>
      </c>
      <c r="BK44" s="15">
        <f t="shared" si="106"/>
        <v>1</v>
      </c>
      <c r="BL44" s="13">
        <f>'[2]Oct-Dec''25'!BN44+'[2]Apr-Sep''25'!BN44</f>
        <v>3</v>
      </c>
      <c r="BM44" s="13">
        <f>'[2]Oct-Dec''25'!BO44+'[2]Apr-Sep''25'!BO44</f>
        <v>3</v>
      </c>
      <c r="BN44" s="15">
        <f t="shared" si="107"/>
        <v>1</v>
      </c>
      <c r="BO44" s="13">
        <f>'[2]Oct-Dec''25'!BQ44+'[2]Apr-Sep''25'!BQ44</f>
        <v>1</v>
      </c>
      <c r="BP44" s="13">
        <f>'[2]Oct-Dec''25'!BR44+'[2]Apr-Sep''25'!BR44</f>
        <v>0</v>
      </c>
      <c r="BQ44" s="15">
        <f t="shared" si="108"/>
        <v>0</v>
      </c>
      <c r="BR44" s="13">
        <f>'[2]Oct-Dec''25'!BT44+'[2]Apr-Sep''25'!BT44</f>
        <v>3</v>
      </c>
      <c r="BS44" s="13">
        <f>'[2]Oct-Dec''25'!BU44+'[2]Apr-Sep''25'!BU44</f>
        <v>3</v>
      </c>
      <c r="BT44" s="14">
        <f t="shared" si="109"/>
        <v>1</v>
      </c>
      <c r="BU44" s="13">
        <f>'[2]Oct-Dec''25'!BW44+'[2]Apr-Sep''25'!BW44</f>
        <v>0</v>
      </c>
      <c r="BV44" s="13">
        <f>'[2]Oct-Dec''25'!BX44+'[2]Apr-Sep''25'!BX44</f>
        <v>0</v>
      </c>
      <c r="BW44" s="14">
        <f t="shared" si="110"/>
        <v>0</v>
      </c>
      <c r="BX44" s="13">
        <f>'[2]Oct-Dec''25'!BZ44+'[2]Apr-Sep''25'!BZ44</f>
        <v>240</v>
      </c>
      <c r="BY44" s="13">
        <f>'[2]Oct-Dec''25'!CA44+'[2]Apr-Sep''25'!CA44</f>
        <v>240</v>
      </c>
      <c r="BZ44" s="14">
        <f t="shared" si="111"/>
        <v>1</v>
      </c>
      <c r="CA44" s="13">
        <f>'[2]Oct-Dec''25'!CC44+'[2]Apr-Sep''25'!CC44</f>
        <v>158</v>
      </c>
      <c r="CB44" s="13">
        <f>'[2]Oct-Dec''25'!CD44+'[2]Apr-Sep''25'!CD44</f>
        <v>158</v>
      </c>
      <c r="CC44" s="14">
        <f t="shared" si="112"/>
        <v>1</v>
      </c>
      <c r="CD44" s="13">
        <f>'[2]Oct-Dec''25'!CF44+'[2]Apr-Sep''25'!CF44</f>
        <v>0</v>
      </c>
      <c r="CE44" s="13">
        <f>'[2]Oct-Dec''25'!CG44+'[2]Apr-Sep''25'!CG44</f>
        <v>0</v>
      </c>
      <c r="CF44" s="14">
        <f t="shared" si="113"/>
        <v>0</v>
      </c>
    </row>
    <row r="45" spans="1:84" ht="36" x14ac:dyDescent="0.25">
      <c r="A45" s="12">
        <f>'[2]Oct-Dec''25'!A45</f>
        <v>39</v>
      </c>
      <c r="B45" s="12" t="str">
        <f>'[2]Oct-Dec''25'!B45</f>
        <v>YRG Care</v>
      </c>
      <c r="C45" s="1" t="str">
        <f>'[2]Oct-Dec''25'!C45</f>
        <v>Rajasthan</v>
      </c>
      <c r="D45" s="3" t="str">
        <f>'[2]Oct-Dec''25'!D45</f>
        <v>BHILWARA NETWORK OF PEOPLE LIVING HIV/AIDS SANSTHAN</v>
      </c>
      <c r="E45" s="1" t="str">
        <f>'[2]Oct-Dec''25'!E45</f>
        <v>BANSWARA</v>
      </c>
      <c r="F45" s="12" t="s">
        <v>85</v>
      </c>
      <c r="G45" s="13">
        <f>'[2]Oct-Dec''25'!H45+'[2]Apr-Sep''25'!H45</f>
        <v>135</v>
      </c>
      <c r="H45" s="13">
        <f>'[2]Oct-Dec''25'!I45+'[2]Apr-Sep''25'!I45</f>
        <v>116</v>
      </c>
      <c r="I45" s="7">
        <f t="shared" si="87"/>
        <v>0.85925925925925928</v>
      </c>
      <c r="J45" s="13">
        <f>'[2]Oct-Dec''25'!K45+'[2]Apr-Sep''25'!K45</f>
        <v>0</v>
      </c>
      <c r="K45" s="13">
        <f>'[2]Oct-Dec''25'!L45+'[2]Apr-Sep''25'!L45</f>
        <v>0</v>
      </c>
      <c r="L45" s="7"/>
      <c r="M45" s="13">
        <f>'[2]Oct-Dec''25'!N45+'[2]Apr-Sep''25'!N45</f>
        <v>135</v>
      </c>
      <c r="N45" s="13">
        <f>'[2]Oct-Dec''25'!O45+'[2]Apr-Sep''25'!O45</f>
        <v>132</v>
      </c>
      <c r="O45" s="8">
        <f t="shared" si="88"/>
        <v>0.97777777777777775</v>
      </c>
      <c r="P45" s="13">
        <f>'[2]Oct-Dec''25'!Q45+'[2]Apr-Sep''25'!Q45</f>
        <v>105</v>
      </c>
      <c r="Q45" s="13">
        <f>'[2]Oct-Dec''25'!R45+'[2]Apr-Sep''25'!R45</f>
        <v>99</v>
      </c>
      <c r="R45" s="8">
        <f t="shared" si="89"/>
        <v>0.94285714285714284</v>
      </c>
      <c r="S45" s="13">
        <f>'[2]Oct-Dec''25'!T45+'[2]Apr-Sep''25'!T45</f>
        <v>1253</v>
      </c>
      <c r="T45" s="13">
        <f>'[2]Oct-Dec''25'!U45+'[2]Apr-Sep''25'!U45</f>
        <v>990</v>
      </c>
      <c r="U45" s="8">
        <f t="shared" si="90"/>
        <v>0.79010375099760577</v>
      </c>
      <c r="V45" s="13">
        <f>'[2]Oct-Dec''25'!W45+'[2]Apr-Sep''25'!W45</f>
        <v>435</v>
      </c>
      <c r="W45" s="13">
        <f>'[2]Oct-Dec''25'!Y45+'[2]Apr-Sep''25'!Y45</f>
        <v>310</v>
      </c>
      <c r="X45" s="8">
        <f t="shared" si="91"/>
        <v>0.71264367816091956</v>
      </c>
      <c r="Y45" s="13">
        <f>'[2]Oct-Dec''25'!AA45+'[2]Apr-Sep''25'!AA45</f>
        <v>0</v>
      </c>
      <c r="Z45" s="13">
        <f>'[2]Oct-Dec''25'!AB45+'[2]Apr-Sep''25'!AB45</f>
        <v>0</v>
      </c>
      <c r="AA45" s="8" t="e">
        <f t="shared" si="92"/>
        <v>#DIV/0!</v>
      </c>
      <c r="AB45" s="13">
        <f>'[2]Oct-Dec''25'!AD45+'[2]Apr-Sep''25'!AD45</f>
        <v>5</v>
      </c>
      <c r="AC45" s="13">
        <f>'[2]Oct-Dec''25'!AE45+'[2]Apr-Sep''25'!AE45</f>
        <v>0</v>
      </c>
      <c r="AD45" s="8">
        <f t="shared" si="93"/>
        <v>0</v>
      </c>
      <c r="AE45" s="13">
        <f>'[2]Oct-Dec''25'!AJ45+'[2]Apr-Sep''25'!AJ45</f>
        <v>309</v>
      </c>
      <c r="AF45" s="13">
        <f>'[2]Oct-Dec''25'!AK45+'[2]Apr-Sep''25'!AK45</f>
        <v>309</v>
      </c>
      <c r="AG45" s="8">
        <f t="shared" si="94"/>
        <v>1</v>
      </c>
      <c r="AH45" s="13">
        <f>'[2]Oct-Dec''25'!AM45+'[2]Apr-Sep''25'!AM45</f>
        <v>1</v>
      </c>
      <c r="AI45" s="13">
        <f>'[2]Oct-Dec''25'!AN45+'[2]Apr-Sep''25'!AN45</f>
        <v>1</v>
      </c>
      <c r="AJ45" s="8">
        <f t="shared" si="95"/>
        <v>1</v>
      </c>
      <c r="AK45" s="13">
        <f>'[2]Oct-Dec''25'!AP45+'[2]Apr-Sep''25'!AP45</f>
        <v>168</v>
      </c>
      <c r="AL45" s="13">
        <f>'[2]Oct-Dec''25'!AQ45+'[2]Apr-Sep''25'!AQ45</f>
        <v>156</v>
      </c>
      <c r="AM45" s="8">
        <f t="shared" si="96"/>
        <v>0.9285714285714286</v>
      </c>
      <c r="AN45" s="13">
        <f>'[2]Oct-Dec''25'!AS45+'[2]Apr-Sep''25'!AS45</f>
        <v>4</v>
      </c>
      <c r="AO45" s="13">
        <f>'[2]Oct-Dec''25'!AT45+'[2]Apr-Sep''25'!AT45</f>
        <v>4</v>
      </c>
      <c r="AP45" s="8">
        <f t="shared" si="97"/>
        <v>1</v>
      </c>
      <c r="AQ45" s="13">
        <f>'[2]Oct-Dec''25'!AV45+'[2]Apr-Sep''25'!AV45</f>
        <v>0</v>
      </c>
      <c r="AR45" s="13">
        <f>'[2]Oct-Dec''25'!AW45+'[2]Apr-Sep''25'!AW45</f>
        <v>0</v>
      </c>
      <c r="AS45" s="8" t="e">
        <f t="shared" si="98"/>
        <v>#DIV/0!</v>
      </c>
      <c r="AT45" s="13">
        <f>'[2]Oct-Dec''25'!AY45+'[2]Apr-Sep''25'!AY45</f>
        <v>7</v>
      </c>
      <c r="AU45" s="13">
        <f>'[2]Oct-Dec''25'!AZ45+'[2]Apr-Sep''25'!AZ45</f>
        <v>4</v>
      </c>
      <c r="AV45" s="8">
        <f t="shared" si="99"/>
        <v>0.5714285714285714</v>
      </c>
      <c r="AW45" s="9">
        <f t="shared" si="100"/>
        <v>11</v>
      </c>
      <c r="AX45" s="9">
        <f t="shared" si="101"/>
        <v>8</v>
      </c>
      <c r="AY45" s="8">
        <f t="shared" si="102"/>
        <v>0.72727272727272729</v>
      </c>
      <c r="AZ45" s="13">
        <f>'[2]Oct-Dec''25'!BB45+'[2]Apr-Sep''25'!BB45</f>
        <v>0</v>
      </c>
      <c r="BA45" s="13">
        <f>'[2]Oct-Dec''25'!BC45+'[2]Apr-Sep''25'!BC45</f>
        <v>112</v>
      </c>
      <c r="BB45" s="14">
        <f t="shared" si="103"/>
        <v>0</v>
      </c>
      <c r="BC45" s="13">
        <f>'[2]Oct-Dec''25'!BE45+'[2]Apr-Sep''25'!BE45</f>
        <v>1</v>
      </c>
      <c r="BD45" s="13">
        <f>'[2]Oct-Dec''25'!BF45+'[2]Apr-Sep''25'!BF45</f>
        <v>0</v>
      </c>
      <c r="BE45" s="14">
        <f t="shared" si="104"/>
        <v>0</v>
      </c>
      <c r="BF45" s="13">
        <f>'[2]Oct-Dec''25'!BH45+'[2]Apr-Sep''25'!BH45</f>
        <v>9</v>
      </c>
      <c r="BG45" s="13">
        <f>'[2]Oct-Dec''25'!BI45+'[2]Apr-Sep''25'!BI45</f>
        <v>9</v>
      </c>
      <c r="BH45" s="14">
        <f t="shared" si="105"/>
        <v>1</v>
      </c>
      <c r="BI45" s="13">
        <f>'[2]Oct-Dec''25'!BK45+'[2]Apr-Sep''25'!BK45</f>
        <v>0</v>
      </c>
      <c r="BJ45" s="13">
        <f>'[2]Oct-Dec''25'!BL45+'[2]Apr-Sep''25'!BL45</f>
        <v>2</v>
      </c>
      <c r="BK45" s="15">
        <f t="shared" si="106"/>
        <v>0</v>
      </c>
      <c r="BL45" s="13">
        <f>'[2]Oct-Dec''25'!BN45+'[2]Apr-Sep''25'!BN45</f>
        <v>0</v>
      </c>
      <c r="BM45" s="13">
        <f>'[2]Oct-Dec''25'!BO45+'[2]Apr-Sep''25'!BO45</f>
        <v>0</v>
      </c>
      <c r="BN45" s="15">
        <f t="shared" si="107"/>
        <v>0</v>
      </c>
      <c r="BO45" s="13">
        <f>'[2]Oct-Dec''25'!BQ45+'[2]Apr-Sep''25'!BQ45</f>
        <v>0</v>
      </c>
      <c r="BP45" s="13">
        <f>'[2]Oct-Dec''25'!BR45+'[2]Apr-Sep''25'!BR45</f>
        <v>0</v>
      </c>
      <c r="BQ45" s="15">
        <f t="shared" si="108"/>
        <v>0</v>
      </c>
      <c r="BR45" s="13">
        <f>'[2]Oct-Dec''25'!BT45+'[2]Apr-Sep''25'!BT45</f>
        <v>0</v>
      </c>
      <c r="BS45" s="13">
        <f>'[2]Oct-Dec''25'!BU45+'[2]Apr-Sep''25'!BU45</f>
        <v>0</v>
      </c>
      <c r="BT45" s="14">
        <f t="shared" si="109"/>
        <v>0</v>
      </c>
      <c r="BU45" s="13">
        <f>'[2]Oct-Dec''25'!BW45+'[2]Apr-Sep''25'!BW45</f>
        <v>0</v>
      </c>
      <c r="BV45" s="13">
        <f>'[2]Oct-Dec''25'!BX45+'[2]Apr-Sep''25'!BX45</f>
        <v>0</v>
      </c>
      <c r="BW45" s="14">
        <f t="shared" si="110"/>
        <v>0</v>
      </c>
      <c r="BX45" s="13">
        <f>'[2]Oct-Dec''25'!BZ45+'[2]Apr-Sep''25'!BZ45</f>
        <v>116</v>
      </c>
      <c r="BY45" s="13">
        <f>'[2]Oct-Dec''25'!CA45+'[2]Apr-Sep''25'!CA45</f>
        <v>116</v>
      </c>
      <c r="BZ45" s="14">
        <f t="shared" si="111"/>
        <v>1</v>
      </c>
      <c r="CA45" s="13">
        <f>'[2]Oct-Dec''25'!CC45+'[2]Apr-Sep''25'!CC45</f>
        <v>46</v>
      </c>
      <c r="CB45" s="13">
        <f>'[2]Oct-Dec''25'!CD45+'[2]Apr-Sep''25'!CD45</f>
        <v>46</v>
      </c>
      <c r="CC45" s="14">
        <f t="shared" si="112"/>
        <v>1</v>
      </c>
      <c r="CD45" s="13">
        <f>'[2]Oct-Dec''25'!CF45+'[2]Apr-Sep''25'!CF45</f>
        <v>0</v>
      </c>
      <c r="CE45" s="13">
        <f>'[2]Oct-Dec''25'!CG45+'[2]Apr-Sep''25'!CG45</f>
        <v>0</v>
      </c>
      <c r="CF45" s="14">
        <f t="shared" si="113"/>
        <v>0</v>
      </c>
    </row>
    <row r="46" spans="1:84" ht="24" x14ac:dyDescent="0.25">
      <c r="A46" s="12">
        <f>'[2]Oct-Dec''25'!A46</f>
        <v>40</v>
      </c>
      <c r="B46" s="12" t="str">
        <f>'[2]Oct-Dec''25'!B46</f>
        <v>YRG Care</v>
      </c>
      <c r="C46" s="1" t="str">
        <f>'[2]Oct-Dec''25'!C46</f>
        <v>Rajasthan</v>
      </c>
      <c r="D46" s="3" t="str">
        <f>'[2]Oct-Dec''25'!D46</f>
        <v>STATE COALITION OF PLHIV SANSTHAN</v>
      </c>
      <c r="E46" s="1" t="str">
        <f>'[2]Oct-Dec''25'!E46</f>
        <v>BHARATPUR</v>
      </c>
      <c r="F46" s="12" t="s">
        <v>85</v>
      </c>
      <c r="G46" s="13">
        <f>'[2]Oct-Dec''25'!H46+'[2]Apr-Sep''25'!H46</f>
        <v>188</v>
      </c>
      <c r="H46" s="13">
        <f>'[2]Oct-Dec''25'!I46+'[2]Apr-Sep''25'!I46</f>
        <v>186</v>
      </c>
      <c r="I46" s="7">
        <f t="shared" si="87"/>
        <v>0.98936170212765961</v>
      </c>
      <c r="J46" s="13">
        <f>'[2]Oct-Dec''25'!K46+'[2]Apr-Sep''25'!K46</f>
        <v>0</v>
      </c>
      <c r="K46" s="13">
        <f>'[2]Oct-Dec''25'!L46+'[2]Apr-Sep''25'!L46</f>
        <v>0</v>
      </c>
      <c r="L46" s="7"/>
      <c r="M46" s="13">
        <f>'[2]Oct-Dec''25'!N46+'[2]Apr-Sep''25'!N46</f>
        <v>188</v>
      </c>
      <c r="N46" s="13">
        <f>'[2]Oct-Dec''25'!O46+'[2]Apr-Sep''25'!O46</f>
        <v>188</v>
      </c>
      <c r="O46" s="8">
        <f t="shared" si="88"/>
        <v>1</v>
      </c>
      <c r="P46" s="13">
        <f>'[2]Oct-Dec''25'!Q46+'[2]Apr-Sep''25'!Q46</f>
        <v>167</v>
      </c>
      <c r="Q46" s="13">
        <f>'[2]Oct-Dec''25'!R46+'[2]Apr-Sep''25'!R46</f>
        <v>159</v>
      </c>
      <c r="R46" s="8">
        <f t="shared" si="89"/>
        <v>0.95209580838323349</v>
      </c>
      <c r="S46" s="13">
        <f>'[2]Oct-Dec''25'!T46+'[2]Apr-Sep''25'!T46</f>
        <v>1486</v>
      </c>
      <c r="T46" s="13">
        <f>'[2]Oct-Dec''25'!U46+'[2]Apr-Sep''25'!U46</f>
        <v>1339</v>
      </c>
      <c r="U46" s="8">
        <f t="shared" si="90"/>
        <v>0.90107671601615069</v>
      </c>
      <c r="V46" s="13">
        <f>'[2]Oct-Dec''25'!W46+'[2]Apr-Sep''25'!W46</f>
        <v>239</v>
      </c>
      <c r="W46" s="13">
        <f>'[2]Oct-Dec''25'!Y46+'[2]Apr-Sep''25'!Y46</f>
        <v>155</v>
      </c>
      <c r="X46" s="8">
        <f t="shared" si="91"/>
        <v>0.64853556485355646</v>
      </c>
      <c r="Y46" s="13">
        <f>'[2]Oct-Dec''25'!AA46+'[2]Apr-Sep''25'!AA46</f>
        <v>0</v>
      </c>
      <c r="Z46" s="13">
        <f>'[2]Oct-Dec''25'!AB46+'[2]Apr-Sep''25'!AB46</f>
        <v>0</v>
      </c>
      <c r="AA46" s="8" t="e">
        <f t="shared" si="92"/>
        <v>#DIV/0!</v>
      </c>
      <c r="AB46" s="13">
        <f>'[2]Oct-Dec''25'!AD46+'[2]Apr-Sep''25'!AD46</f>
        <v>0</v>
      </c>
      <c r="AC46" s="13">
        <f>'[2]Oct-Dec''25'!AE46+'[2]Apr-Sep''25'!AE46</f>
        <v>0</v>
      </c>
      <c r="AD46" s="8" t="e">
        <f t="shared" si="93"/>
        <v>#DIV/0!</v>
      </c>
      <c r="AE46" s="13">
        <f>'[2]Oct-Dec''25'!AJ46+'[2]Apr-Sep''25'!AJ46</f>
        <v>1030</v>
      </c>
      <c r="AF46" s="13">
        <f>'[2]Oct-Dec''25'!AK46+'[2]Apr-Sep''25'!AK46</f>
        <v>888</v>
      </c>
      <c r="AG46" s="8">
        <f t="shared" si="94"/>
        <v>0.86213592233009706</v>
      </c>
      <c r="AH46" s="13">
        <f>'[2]Oct-Dec''25'!AM46+'[2]Apr-Sep''25'!AM46</f>
        <v>3</v>
      </c>
      <c r="AI46" s="13">
        <f>'[2]Oct-Dec''25'!AN46+'[2]Apr-Sep''25'!AN46</f>
        <v>3</v>
      </c>
      <c r="AJ46" s="8">
        <f t="shared" si="95"/>
        <v>1</v>
      </c>
      <c r="AK46" s="13">
        <f>'[2]Oct-Dec''25'!AP46+'[2]Apr-Sep''25'!AP46</f>
        <v>116</v>
      </c>
      <c r="AL46" s="13">
        <f>'[2]Oct-Dec''25'!AQ46+'[2]Apr-Sep''25'!AQ46</f>
        <v>106</v>
      </c>
      <c r="AM46" s="8">
        <f t="shared" si="96"/>
        <v>0.91379310344827591</v>
      </c>
      <c r="AN46" s="13">
        <f>'[2]Oct-Dec''25'!AS46+'[2]Apr-Sep''25'!AS46</f>
        <v>0</v>
      </c>
      <c r="AO46" s="13">
        <f>'[2]Oct-Dec''25'!AT46+'[2]Apr-Sep''25'!AT46</f>
        <v>0</v>
      </c>
      <c r="AP46" s="8" t="e">
        <f t="shared" si="97"/>
        <v>#DIV/0!</v>
      </c>
      <c r="AQ46" s="13">
        <f>'[2]Oct-Dec''25'!AV46+'[2]Apr-Sep''25'!AV46</f>
        <v>0</v>
      </c>
      <c r="AR46" s="13">
        <f>'[2]Oct-Dec''25'!AW46+'[2]Apr-Sep''25'!AW46</f>
        <v>0</v>
      </c>
      <c r="AS46" s="8" t="e">
        <f t="shared" si="98"/>
        <v>#DIV/0!</v>
      </c>
      <c r="AT46" s="13">
        <f>'[2]Oct-Dec''25'!AY46+'[2]Apr-Sep''25'!AY46</f>
        <v>30</v>
      </c>
      <c r="AU46" s="13">
        <f>'[2]Oct-Dec''25'!AZ46+'[2]Apr-Sep''25'!AZ46</f>
        <v>3</v>
      </c>
      <c r="AV46" s="8">
        <f t="shared" si="99"/>
        <v>0.1</v>
      </c>
      <c r="AW46" s="9">
        <f t="shared" si="100"/>
        <v>30</v>
      </c>
      <c r="AX46" s="9">
        <f t="shared" si="101"/>
        <v>3</v>
      </c>
      <c r="AY46" s="8">
        <f t="shared" si="102"/>
        <v>0.1</v>
      </c>
      <c r="AZ46" s="13">
        <f>'[2]Oct-Dec''25'!BB46+'[2]Apr-Sep''25'!BB46</f>
        <v>92</v>
      </c>
      <c r="BA46" s="13">
        <f>'[2]Oct-Dec''25'!BC46+'[2]Apr-Sep''25'!BC46</f>
        <v>126</v>
      </c>
      <c r="BB46" s="14">
        <f t="shared" si="103"/>
        <v>1.3695652173913044</v>
      </c>
      <c r="BC46" s="13">
        <f>'[2]Oct-Dec''25'!BE46+'[2]Apr-Sep''25'!BE46</f>
        <v>0</v>
      </c>
      <c r="BD46" s="13">
        <f>'[2]Oct-Dec''25'!BF46+'[2]Apr-Sep''25'!BF46</f>
        <v>0</v>
      </c>
      <c r="BE46" s="14">
        <f t="shared" si="104"/>
        <v>0</v>
      </c>
      <c r="BF46" s="13">
        <f>'[2]Oct-Dec''25'!BH46+'[2]Apr-Sep''25'!BH46</f>
        <v>5</v>
      </c>
      <c r="BG46" s="13">
        <f>'[2]Oct-Dec''25'!BI46+'[2]Apr-Sep''25'!BI46</f>
        <v>5</v>
      </c>
      <c r="BH46" s="14">
        <f t="shared" si="105"/>
        <v>1</v>
      </c>
      <c r="BI46" s="13">
        <f>'[2]Oct-Dec''25'!BK46+'[2]Apr-Sep''25'!BK46</f>
        <v>1</v>
      </c>
      <c r="BJ46" s="13">
        <f>'[2]Oct-Dec''25'!BL46+'[2]Apr-Sep''25'!BL46</f>
        <v>1</v>
      </c>
      <c r="BK46" s="15">
        <f t="shared" si="106"/>
        <v>1</v>
      </c>
      <c r="BL46" s="13">
        <f>'[2]Oct-Dec''25'!BN46+'[2]Apr-Sep''25'!BN46</f>
        <v>2</v>
      </c>
      <c r="BM46" s="13">
        <f>'[2]Oct-Dec''25'!BO46+'[2]Apr-Sep''25'!BO46</f>
        <v>2</v>
      </c>
      <c r="BN46" s="15">
        <f t="shared" si="107"/>
        <v>1</v>
      </c>
      <c r="BO46" s="13">
        <f>'[2]Oct-Dec''25'!BQ46+'[2]Apr-Sep''25'!BQ46</f>
        <v>5</v>
      </c>
      <c r="BP46" s="13">
        <f>'[2]Oct-Dec''25'!BR46+'[2]Apr-Sep''25'!BR46</f>
        <v>5</v>
      </c>
      <c r="BQ46" s="15">
        <f t="shared" si="108"/>
        <v>1</v>
      </c>
      <c r="BR46" s="13">
        <f>'[2]Oct-Dec''25'!BT46+'[2]Apr-Sep''25'!BT46</f>
        <v>8</v>
      </c>
      <c r="BS46" s="13">
        <f>'[2]Oct-Dec''25'!BU46+'[2]Apr-Sep''25'!BU46</f>
        <v>7</v>
      </c>
      <c r="BT46" s="14">
        <f t="shared" si="109"/>
        <v>0.875</v>
      </c>
      <c r="BU46" s="13">
        <f>'[2]Oct-Dec''25'!BW46+'[2]Apr-Sep''25'!BW46</f>
        <v>0</v>
      </c>
      <c r="BV46" s="13">
        <f>'[2]Oct-Dec''25'!BX46+'[2]Apr-Sep''25'!BX46</f>
        <v>0</v>
      </c>
      <c r="BW46" s="14">
        <f t="shared" si="110"/>
        <v>0</v>
      </c>
      <c r="BX46" s="13">
        <f>'[2]Oct-Dec''25'!BZ46+'[2]Apr-Sep''25'!BZ46</f>
        <v>186</v>
      </c>
      <c r="BY46" s="13">
        <f>'[2]Oct-Dec''25'!CA46+'[2]Apr-Sep''25'!CA46</f>
        <v>186</v>
      </c>
      <c r="BZ46" s="14">
        <f t="shared" si="111"/>
        <v>1</v>
      </c>
      <c r="CA46" s="13">
        <f>'[2]Oct-Dec''25'!CC46+'[2]Apr-Sep''25'!CC46</f>
        <v>0</v>
      </c>
      <c r="CB46" s="13">
        <f>'[2]Oct-Dec''25'!CD46+'[2]Apr-Sep''25'!CD46</f>
        <v>0</v>
      </c>
      <c r="CC46" s="14">
        <f t="shared" si="112"/>
        <v>0</v>
      </c>
      <c r="CD46" s="13">
        <f>'[2]Oct-Dec''25'!CF46+'[2]Apr-Sep''25'!CF46</f>
        <v>0</v>
      </c>
      <c r="CE46" s="13">
        <f>'[2]Oct-Dec''25'!CG46+'[2]Apr-Sep''25'!CG46</f>
        <v>0</v>
      </c>
      <c r="CF46" s="14">
        <f t="shared" si="113"/>
        <v>0</v>
      </c>
    </row>
    <row r="47" spans="1:84" ht="48" x14ac:dyDescent="0.25">
      <c r="A47" s="12">
        <f>'[2]Oct-Dec''25'!A47</f>
        <v>41</v>
      </c>
      <c r="B47" s="12" t="str">
        <f>'[2]Oct-Dec''25'!B47</f>
        <v>YRG Care</v>
      </c>
      <c r="C47" s="1" t="str">
        <f>'[2]Oct-Dec''25'!C47</f>
        <v>Rajasthan</v>
      </c>
      <c r="D47" s="3" t="str">
        <f>'[2]Oct-Dec''25'!D47</f>
        <v>BARMER NETWORK FOR PEOPLE LIVING WITH HIV/AIDS SANSTHAN</v>
      </c>
      <c r="E47" s="1" t="str">
        <f>'[2]Oct-Dec''25'!E47</f>
        <v>BARMER</v>
      </c>
      <c r="F47" s="12" t="s">
        <v>85</v>
      </c>
      <c r="G47" s="13">
        <f>'[2]Oct-Dec''25'!H47+'[2]Apr-Sep''25'!H47</f>
        <v>102</v>
      </c>
      <c r="H47" s="13">
        <f>'[2]Oct-Dec''25'!I47+'[2]Apr-Sep''25'!I47</f>
        <v>92</v>
      </c>
      <c r="I47" s="7">
        <f t="shared" si="87"/>
        <v>0.90196078431372551</v>
      </c>
      <c r="J47" s="13">
        <f>'[2]Oct-Dec''25'!K47+'[2]Apr-Sep''25'!K47</f>
        <v>7</v>
      </c>
      <c r="K47" s="13">
        <f>'[2]Oct-Dec''25'!L47+'[2]Apr-Sep''25'!L47</f>
        <v>3</v>
      </c>
      <c r="L47" s="7">
        <f>K47/J47</f>
        <v>0.42857142857142855</v>
      </c>
      <c r="M47" s="13">
        <f>'[2]Oct-Dec''25'!N47+'[2]Apr-Sep''25'!N47</f>
        <v>92</v>
      </c>
      <c r="N47" s="13">
        <f>'[2]Oct-Dec''25'!O47+'[2]Apr-Sep''25'!O47</f>
        <v>89</v>
      </c>
      <c r="O47" s="8">
        <f t="shared" si="88"/>
        <v>0.96739130434782605</v>
      </c>
      <c r="P47" s="13">
        <f>'[2]Oct-Dec''25'!Q47+'[2]Apr-Sep''25'!Q47</f>
        <v>94</v>
      </c>
      <c r="Q47" s="13">
        <f>'[2]Oct-Dec''25'!R47+'[2]Apr-Sep''25'!R47</f>
        <v>87</v>
      </c>
      <c r="R47" s="8">
        <f t="shared" si="89"/>
        <v>0.92553191489361697</v>
      </c>
      <c r="S47" s="13">
        <f>'[2]Oct-Dec''25'!T47+'[2]Apr-Sep''25'!T47</f>
        <v>1253</v>
      </c>
      <c r="T47" s="13">
        <f>'[2]Oct-Dec''25'!U47+'[2]Apr-Sep''25'!U47</f>
        <v>1062</v>
      </c>
      <c r="U47" s="8">
        <f t="shared" si="90"/>
        <v>0.84756584197924978</v>
      </c>
      <c r="V47" s="13">
        <f>'[2]Oct-Dec''25'!W47+'[2]Apr-Sep''25'!W47</f>
        <v>418</v>
      </c>
      <c r="W47" s="13">
        <f>'[2]Oct-Dec''25'!Y47+'[2]Apr-Sep''25'!Y47</f>
        <v>255</v>
      </c>
      <c r="X47" s="8">
        <f t="shared" si="91"/>
        <v>0.61004784688995217</v>
      </c>
      <c r="Y47" s="13">
        <f>'[2]Oct-Dec''25'!AA47+'[2]Apr-Sep''25'!AA47</f>
        <v>0</v>
      </c>
      <c r="Z47" s="13">
        <f>'[2]Oct-Dec''25'!AB47+'[2]Apr-Sep''25'!AB47</f>
        <v>0</v>
      </c>
      <c r="AA47" s="8" t="e">
        <f t="shared" si="92"/>
        <v>#DIV/0!</v>
      </c>
      <c r="AB47" s="13">
        <f>'[2]Oct-Dec''25'!AD47+'[2]Apr-Sep''25'!AD47</f>
        <v>0</v>
      </c>
      <c r="AC47" s="13">
        <f>'[2]Oct-Dec''25'!AE47+'[2]Apr-Sep''25'!AE47</f>
        <v>0</v>
      </c>
      <c r="AD47" s="8" t="e">
        <f t="shared" si="93"/>
        <v>#DIV/0!</v>
      </c>
      <c r="AE47" s="13">
        <f>'[2]Oct-Dec''25'!AJ47+'[2]Apr-Sep''25'!AJ47</f>
        <v>188</v>
      </c>
      <c r="AF47" s="13">
        <f>'[2]Oct-Dec''25'!AK47+'[2]Apr-Sep''25'!AK47</f>
        <v>111</v>
      </c>
      <c r="AG47" s="8">
        <f t="shared" si="94"/>
        <v>0.59042553191489366</v>
      </c>
      <c r="AH47" s="13">
        <f>'[2]Oct-Dec''25'!AM47+'[2]Apr-Sep''25'!AM47</f>
        <v>0</v>
      </c>
      <c r="AI47" s="13">
        <f>'[2]Oct-Dec''25'!AN47+'[2]Apr-Sep''25'!AN47</f>
        <v>0</v>
      </c>
      <c r="AJ47" s="8" t="e">
        <f t="shared" si="95"/>
        <v>#DIV/0!</v>
      </c>
      <c r="AK47" s="13">
        <f>'[2]Oct-Dec''25'!AP47+'[2]Apr-Sep''25'!AP47</f>
        <v>82</v>
      </c>
      <c r="AL47" s="13">
        <f>'[2]Oct-Dec''25'!AQ47+'[2]Apr-Sep''25'!AQ47</f>
        <v>55</v>
      </c>
      <c r="AM47" s="8">
        <f t="shared" si="96"/>
        <v>0.67073170731707321</v>
      </c>
      <c r="AN47" s="13">
        <f>'[2]Oct-Dec''25'!AS47+'[2]Apr-Sep''25'!AS47</f>
        <v>8</v>
      </c>
      <c r="AO47" s="13">
        <f>'[2]Oct-Dec''25'!AT47+'[2]Apr-Sep''25'!AT47</f>
        <v>6</v>
      </c>
      <c r="AP47" s="8">
        <f t="shared" si="97"/>
        <v>0.75</v>
      </c>
      <c r="AQ47" s="13">
        <f>'[2]Oct-Dec''25'!AV47+'[2]Apr-Sep''25'!AV47</f>
        <v>0</v>
      </c>
      <c r="AR47" s="13">
        <f>'[2]Oct-Dec''25'!AW47+'[2]Apr-Sep''25'!AW47</f>
        <v>0</v>
      </c>
      <c r="AS47" s="8" t="e">
        <f t="shared" si="98"/>
        <v>#DIV/0!</v>
      </c>
      <c r="AT47" s="13">
        <f>'[2]Oct-Dec''25'!AY47+'[2]Apr-Sep''25'!AY47</f>
        <v>15</v>
      </c>
      <c r="AU47" s="13">
        <f>'[2]Oct-Dec''25'!AZ47+'[2]Apr-Sep''25'!AZ47</f>
        <v>14</v>
      </c>
      <c r="AV47" s="8">
        <f t="shared" si="99"/>
        <v>0.93333333333333335</v>
      </c>
      <c r="AW47" s="9">
        <f t="shared" si="100"/>
        <v>23</v>
      </c>
      <c r="AX47" s="9">
        <f t="shared" si="101"/>
        <v>20</v>
      </c>
      <c r="AY47" s="8">
        <f t="shared" si="102"/>
        <v>0.86956521739130432</v>
      </c>
      <c r="AZ47" s="13">
        <f>'[2]Oct-Dec''25'!BB47+'[2]Apr-Sep''25'!BB47</f>
        <v>0</v>
      </c>
      <c r="BA47" s="13">
        <f>'[2]Oct-Dec''25'!BC47+'[2]Apr-Sep''25'!BC47</f>
        <v>26</v>
      </c>
      <c r="BB47" s="14">
        <f t="shared" si="103"/>
        <v>0</v>
      </c>
      <c r="BC47" s="13">
        <f>'[2]Oct-Dec''25'!BE47+'[2]Apr-Sep''25'!BE47</f>
        <v>0</v>
      </c>
      <c r="BD47" s="13">
        <f>'[2]Oct-Dec''25'!BF47+'[2]Apr-Sep''25'!BF47</f>
        <v>0</v>
      </c>
      <c r="BE47" s="14">
        <f t="shared" si="104"/>
        <v>0</v>
      </c>
      <c r="BF47" s="13">
        <f>'[2]Oct-Dec''25'!BH47+'[2]Apr-Sep''25'!BH47</f>
        <v>1</v>
      </c>
      <c r="BG47" s="13">
        <f>'[2]Oct-Dec''25'!BI47+'[2]Apr-Sep''25'!BI47</f>
        <v>1</v>
      </c>
      <c r="BH47" s="14">
        <f t="shared" si="105"/>
        <v>1</v>
      </c>
      <c r="BI47" s="13">
        <f>'[2]Oct-Dec''25'!BK47+'[2]Apr-Sep''25'!BK47</f>
        <v>0</v>
      </c>
      <c r="BJ47" s="13">
        <f>'[2]Oct-Dec''25'!BL47+'[2]Apr-Sep''25'!BL47</f>
        <v>0</v>
      </c>
      <c r="BK47" s="15">
        <f t="shared" si="106"/>
        <v>0</v>
      </c>
      <c r="BL47" s="13">
        <f>'[2]Oct-Dec''25'!BN47+'[2]Apr-Sep''25'!BN47</f>
        <v>0</v>
      </c>
      <c r="BM47" s="13">
        <f>'[2]Oct-Dec''25'!BO47+'[2]Apr-Sep''25'!BO47</f>
        <v>0</v>
      </c>
      <c r="BN47" s="15">
        <f t="shared" si="107"/>
        <v>0</v>
      </c>
      <c r="BO47" s="13">
        <f>'[2]Oct-Dec''25'!BQ47+'[2]Apr-Sep''25'!BQ47</f>
        <v>0</v>
      </c>
      <c r="BP47" s="13">
        <f>'[2]Oct-Dec''25'!BR47+'[2]Apr-Sep''25'!BR47</f>
        <v>0</v>
      </c>
      <c r="BQ47" s="15">
        <f t="shared" si="108"/>
        <v>0</v>
      </c>
      <c r="BR47" s="13">
        <f>'[2]Oct-Dec''25'!BT47+'[2]Apr-Sep''25'!BT47</f>
        <v>0</v>
      </c>
      <c r="BS47" s="13">
        <f>'[2]Oct-Dec''25'!BU47+'[2]Apr-Sep''25'!BU47</f>
        <v>0</v>
      </c>
      <c r="BT47" s="14">
        <f t="shared" si="109"/>
        <v>0</v>
      </c>
      <c r="BU47" s="13">
        <f>'[2]Oct-Dec''25'!BW47+'[2]Apr-Sep''25'!BW47</f>
        <v>0</v>
      </c>
      <c r="BV47" s="13">
        <f>'[2]Oct-Dec''25'!BX47+'[2]Apr-Sep''25'!BX47</f>
        <v>0</v>
      </c>
      <c r="BW47" s="14">
        <f t="shared" si="110"/>
        <v>0</v>
      </c>
      <c r="BX47" s="13">
        <f>'[2]Oct-Dec''25'!BZ47+'[2]Apr-Sep''25'!BZ47</f>
        <v>92</v>
      </c>
      <c r="BY47" s="13">
        <f>'[2]Oct-Dec''25'!CA47+'[2]Apr-Sep''25'!CA47</f>
        <v>95</v>
      </c>
      <c r="BZ47" s="14">
        <f t="shared" si="111"/>
        <v>1.0326086956521738</v>
      </c>
      <c r="CA47" s="13">
        <f>'[2]Oct-Dec''25'!CC47+'[2]Apr-Sep''25'!CC47</f>
        <v>6</v>
      </c>
      <c r="CB47" s="13">
        <f>'[2]Oct-Dec''25'!CD47+'[2]Apr-Sep''25'!CD47</f>
        <v>6</v>
      </c>
      <c r="CC47" s="14">
        <f t="shared" si="112"/>
        <v>1</v>
      </c>
      <c r="CD47" s="13">
        <f>'[2]Oct-Dec''25'!CF47+'[2]Apr-Sep''25'!CF47</f>
        <v>0</v>
      </c>
      <c r="CE47" s="13">
        <f>'[2]Oct-Dec''25'!CG47+'[2]Apr-Sep''25'!CG47</f>
        <v>0</v>
      </c>
      <c r="CF47" s="14">
        <f t="shared" si="113"/>
        <v>0</v>
      </c>
    </row>
    <row r="48" spans="1:84" ht="24" x14ac:dyDescent="0.25">
      <c r="A48" s="12">
        <f>'[2]Oct-Dec''25'!A48</f>
        <v>42</v>
      </c>
      <c r="B48" s="12" t="str">
        <f>'[2]Oct-Dec''25'!B48</f>
        <v>YRG Care</v>
      </c>
      <c r="C48" s="1" t="str">
        <f>'[2]Oct-Dec''25'!C48</f>
        <v>Rajasthan</v>
      </c>
      <c r="D48" s="3" t="str">
        <f>'[2]Oct-Dec''25'!D48</f>
        <v>SIKAR NETWORK FOR PLHIV SANSTHAN</v>
      </c>
      <c r="E48" s="1" t="str">
        <f>'[2]Oct-Dec''25'!E48</f>
        <v>JHUNJHUNU</v>
      </c>
      <c r="F48" s="12" t="s">
        <v>85</v>
      </c>
      <c r="G48" s="13">
        <f>'[2]Oct-Dec''25'!H48+'[2]Apr-Sep''25'!H48</f>
        <v>138</v>
      </c>
      <c r="H48" s="13">
        <f>'[2]Oct-Dec''25'!I48+'[2]Apr-Sep''25'!I48</f>
        <v>137</v>
      </c>
      <c r="I48" s="7">
        <f t="shared" si="87"/>
        <v>0.99275362318840576</v>
      </c>
      <c r="J48" s="13">
        <f>'[2]Oct-Dec''25'!K48+'[2]Apr-Sep''25'!K48</f>
        <v>34</v>
      </c>
      <c r="K48" s="13">
        <f>'[2]Oct-Dec''25'!L48+'[2]Apr-Sep''25'!L48</f>
        <v>0</v>
      </c>
      <c r="L48" s="7">
        <f>K48/J48</f>
        <v>0</v>
      </c>
      <c r="M48" s="13">
        <f>'[2]Oct-Dec''25'!N48+'[2]Apr-Sep''25'!N48</f>
        <v>138</v>
      </c>
      <c r="N48" s="13">
        <f>'[2]Oct-Dec''25'!O48+'[2]Apr-Sep''25'!O48</f>
        <v>138</v>
      </c>
      <c r="O48" s="8">
        <f t="shared" si="88"/>
        <v>1</v>
      </c>
      <c r="P48" s="13">
        <f>'[2]Oct-Dec''25'!Q48+'[2]Apr-Sep''25'!Q48</f>
        <v>136</v>
      </c>
      <c r="Q48" s="13">
        <f>'[2]Oct-Dec''25'!R48+'[2]Apr-Sep''25'!R48</f>
        <v>133</v>
      </c>
      <c r="R48" s="8">
        <f t="shared" si="89"/>
        <v>0.9779411764705882</v>
      </c>
      <c r="S48" s="13">
        <f>'[2]Oct-Dec''25'!T48+'[2]Apr-Sep''25'!T48</f>
        <v>555</v>
      </c>
      <c r="T48" s="13">
        <f>'[2]Oct-Dec''25'!U48+'[2]Apr-Sep''25'!U48</f>
        <v>287</v>
      </c>
      <c r="U48" s="8">
        <f t="shared" si="90"/>
        <v>0.51711711711711716</v>
      </c>
      <c r="V48" s="13">
        <f>'[2]Oct-Dec''25'!W48+'[2]Apr-Sep''25'!W48</f>
        <v>276</v>
      </c>
      <c r="W48" s="13">
        <f>'[2]Oct-Dec''25'!Y48+'[2]Apr-Sep''25'!Y48</f>
        <v>206</v>
      </c>
      <c r="X48" s="8">
        <f t="shared" si="91"/>
        <v>0.74637681159420288</v>
      </c>
      <c r="Y48" s="13">
        <f>'[2]Oct-Dec''25'!AA48+'[2]Apr-Sep''25'!AA48</f>
        <v>68</v>
      </c>
      <c r="Z48" s="13">
        <f>'[2]Oct-Dec''25'!AB48+'[2]Apr-Sep''25'!AB48</f>
        <v>68</v>
      </c>
      <c r="AA48" s="8">
        <f t="shared" si="92"/>
        <v>1</v>
      </c>
      <c r="AB48" s="13">
        <f>'[2]Oct-Dec''25'!AD48+'[2]Apr-Sep''25'!AD48</f>
        <v>51</v>
      </c>
      <c r="AC48" s="13">
        <f>'[2]Oct-Dec''25'!AE48+'[2]Apr-Sep''25'!AE48</f>
        <v>0</v>
      </c>
      <c r="AD48" s="8">
        <f t="shared" si="93"/>
        <v>0</v>
      </c>
      <c r="AE48" s="13">
        <f>'[2]Oct-Dec''25'!AJ48+'[2]Apr-Sep''25'!AJ48</f>
        <v>113</v>
      </c>
      <c r="AF48" s="13">
        <f>'[2]Oct-Dec''25'!AK48+'[2]Apr-Sep''25'!AK48</f>
        <v>66</v>
      </c>
      <c r="AG48" s="8">
        <f t="shared" si="94"/>
        <v>0.58407079646017701</v>
      </c>
      <c r="AH48" s="13">
        <f>'[2]Oct-Dec''25'!AM48+'[2]Apr-Sep''25'!AM48</f>
        <v>0</v>
      </c>
      <c r="AI48" s="13">
        <f>'[2]Oct-Dec''25'!AN48+'[2]Apr-Sep''25'!AN48</f>
        <v>0</v>
      </c>
      <c r="AJ48" s="8" t="e">
        <f t="shared" si="95"/>
        <v>#DIV/0!</v>
      </c>
      <c r="AK48" s="13">
        <f>'[2]Oct-Dec''25'!AP48+'[2]Apr-Sep''25'!AP48</f>
        <v>78</v>
      </c>
      <c r="AL48" s="13">
        <f>'[2]Oct-Dec''25'!AQ48+'[2]Apr-Sep''25'!AQ48</f>
        <v>12</v>
      </c>
      <c r="AM48" s="8">
        <f t="shared" si="96"/>
        <v>0.15384615384615385</v>
      </c>
      <c r="AN48" s="13">
        <f>'[2]Oct-Dec''25'!AS48+'[2]Apr-Sep''25'!AS48</f>
        <v>41</v>
      </c>
      <c r="AO48" s="13">
        <f>'[2]Oct-Dec''25'!AT48+'[2]Apr-Sep''25'!AT48</f>
        <v>25</v>
      </c>
      <c r="AP48" s="8">
        <f t="shared" si="97"/>
        <v>0.6097560975609756</v>
      </c>
      <c r="AQ48" s="13">
        <f>'[2]Oct-Dec''25'!AV48+'[2]Apr-Sep''25'!AV48</f>
        <v>0</v>
      </c>
      <c r="AR48" s="13">
        <f>'[2]Oct-Dec''25'!AW48+'[2]Apr-Sep''25'!AW48</f>
        <v>0</v>
      </c>
      <c r="AS48" s="8" t="e">
        <f t="shared" si="98"/>
        <v>#DIV/0!</v>
      </c>
      <c r="AT48" s="13">
        <f>'[2]Oct-Dec''25'!AY48+'[2]Apr-Sep''25'!AY48</f>
        <v>31</v>
      </c>
      <c r="AU48" s="13">
        <f>'[2]Oct-Dec''25'!AZ48+'[2]Apr-Sep''25'!AZ48</f>
        <v>20</v>
      </c>
      <c r="AV48" s="8">
        <f t="shared" si="99"/>
        <v>0.64516129032258063</v>
      </c>
      <c r="AW48" s="9">
        <f t="shared" si="100"/>
        <v>72</v>
      </c>
      <c r="AX48" s="9">
        <f t="shared" si="101"/>
        <v>45</v>
      </c>
      <c r="AY48" s="8">
        <f t="shared" si="102"/>
        <v>0.625</v>
      </c>
      <c r="AZ48" s="13">
        <f>'[2]Oct-Dec''25'!BB48+'[2]Apr-Sep''25'!BB48</f>
        <v>0</v>
      </c>
      <c r="BA48" s="13">
        <f>'[2]Oct-Dec''25'!BC48+'[2]Apr-Sep''25'!BC48</f>
        <v>0</v>
      </c>
      <c r="BB48" s="14">
        <f t="shared" si="103"/>
        <v>0</v>
      </c>
      <c r="BC48" s="13">
        <f>'[2]Oct-Dec''25'!BE48+'[2]Apr-Sep''25'!BE48</f>
        <v>0</v>
      </c>
      <c r="BD48" s="13">
        <f>'[2]Oct-Dec''25'!BF48+'[2]Apr-Sep''25'!BF48</f>
        <v>0</v>
      </c>
      <c r="BE48" s="14">
        <f t="shared" si="104"/>
        <v>0</v>
      </c>
      <c r="BF48" s="13">
        <f>'[2]Oct-Dec''25'!BH48+'[2]Apr-Sep''25'!BH48</f>
        <v>3</v>
      </c>
      <c r="BG48" s="13">
        <f>'[2]Oct-Dec''25'!BI48+'[2]Apr-Sep''25'!BI48</f>
        <v>3</v>
      </c>
      <c r="BH48" s="14">
        <f t="shared" si="105"/>
        <v>1</v>
      </c>
      <c r="BI48" s="13">
        <f>'[2]Oct-Dec''25'!BK48+'[2]Apr-Sep''25'!BK48</f>
        <v>5</v>
      </c>
      <c r="BJ48" s="13">
        <f>'[2]Oct-Dec''25'!BL48+'[2]Apr-Sep''25'!BL48</f>
        <v>1</v>
      </c>
      <c r="BK48" s="15">
        <f t="shared" si="106"/>
        <v>0.2</v>
      </c>
      <c r="BL48" s="13">
        <f>'[2]Oct-Dec''25'!BN48+'[2]Apr-Sep''25'!BN48</f>
        <v>8</v>
      </c>
      <c r="BM48" s="13">
        <f>'[2]Oct-Dec''25'!BO48+'[2]Apr-Sep''25'!BO48</f>
        <v>1</v>
      </c>
      <c r="BN48" s="15">
        <f t="shared" si="107"/>
        <v>0.125</v>
      </c>
      <c r="BO48" s="13">
        <f>'[2]Oct-Dec''25'!BQ48+'[2]Apr-Sep''25'!BQ48</f>
        <v>10</v>
      </c>
      <c r="BP48" s="13">
        <f>'[2]Oct-Dec''25'!BR48+'[2]Apr-Sep''25'!BR48</f>
        <v>6</v>
      </c>
      <c r="BQ48" s="15">
        <f t="shared" si="108"/>
        <v>0.6</v>
      </c>
      <c r="BR48" s="13">
        <f>'[2]Oct-Dec''25'!BT48+'[2]Apr-Sep''25'!BT48</f>
        <v>2</v>
      </c>
      <c r="BS48" s="13">
        <f>'[2]Oct-Dec''25'!BU48+'[2]Apr-Sep''25'!BU48</f>
        <v>1</v>
      </c>
      <c r="BT48" s="14">
        <f t="shared" si="109"/>
        <v>0.5</v>
      </c>
      <c r="BU48" s="13">
        <f>'[2]Oct-Dec''25'!BW48+'[2]Apr-Sep''25'!BW48</f>
        <v>0</v>
      </c>
      <c r="BV48" s="13">
        <f>'[2]Oct-Dec''25'!BX48+'[2]Apr-Sep''25'!BX48</f>
        <v>0</v>
      </c>
      <c r="BW48" s="14">
        <f t="shared" si="110"/>
        <v>0</v>
      </c>
      <c r="BX48" s="13">
        <f>'[2]Oct-Dec''25'!BZ48+'[2]Apr-Sep''25'!BZ48</f>
        <v>137</v>
      </c>
      <c r="BY48" s="13">
        <f>'[2]Oct-Dec''25'!CA48+'[2]Apr-Sep''25'!CA48</f>
        <v>137</v>
      </c>
      <c r="BZ48" s="14">
        <f t="shared" si="111"/>
        <v>1</v>
      </c>
      <c r="CA48" s="13">
        <f>'[2]Oct-Dec''25'!CC48+'[2]Apr-Sep''25'!CC48</f>
        <v>1</v>
      </c>
      <c r="CB48" s="13">
        <f>'[2]Oct-Dec''25'!CD48+'[2]Apr-Sep''25'!CD48</f>
        <v>1</v>
      </c>
      <c r="CC48" s="14">
        <f t="shared" si="112"/>
        <v>1</v>
      </c>
      <c r="CD48" s="13">
        <f>'[2]Oct-Dec''25'!CF48+'[2]Apr-Sep''25'!CF48</f>
        <v>0</v>
      </c>
      <c r="CE48" s="13">
        <f>'[2]Oct-Dec''25'!CG48+'[2]Apr-Sep''25'!CG48</f>
        <v>0</v>
      </c>
      <c r="CF48" s="14">
        <f t="shared" si="113"/>
        <v>0</v>
      </c>
    </row>
    <row r="49" spans="1:84" ht="48" x14ac:dyDescent="0.25">
      <c r="A49" s="12">
        <f>'[2]Oct-Dec''25'!A49</f>
        <v>43</v>
      </c>
      <c r="B49" s="12" t="str">
        <f>'[2]Oct-Dec''25'!B49</f>
        <v>YRG Care</v>
      </c>
      <c r="C49" s="1" t="str">
        <f>'[2]Oct-Dec''25'!C49</f>
        <v>Rajasthan</v>
      </c>
      <c r="D49" s="3" t="str">
        <f>'[2]Oct-Dec''25'!D49</f>
        <v>BIKANER NETWORK FOR PEOPLE LIVING WITH HIV/AIDS SANSTHAN</v>
      </c>
      <c r="E49" s="1" t="str">
        <f>'[2]Oct-Dec''25'!E49</f>
        <v>NAGAUR</v>
      </c>
      <c r="F49" s="12" t="s">
        <v>85</v>
      </c>
      <c r="G49" s="13">
        <f>'[2]Oct-Dec''25'!H49+'[2]Apr-Sep''25'!H49</f>
        <v>97</v>
      </c>
      <c r="H49" s="13">
        <f>'[2]Oct-Dec''25'!I49+'[2]Apr-Sep''25'!I49</f>
        <v>96</v>
      </c>
      <c r="I49" s="7">
        <f t="shared" si="87"/>
        <v>0.98969072164948457</v>
      </c>
      <c r="J49" s="13">
        <f>'[2]Oct-Dec''25'!K49+'[2]Apr-Sep''25'!K49</f>
        <v>1</v>
      </c>
      <c r="K49" s="13">
        <f>'[2]Oct-Dec''25'!L49+'[2]Apr-Sep''25'!L49</f>
        <v>0</v>
      </c>
      <c r="L49" s="7">
        <f>K49/J49</f>
        <v>0</v>
      </c>
      <c r="M49" s="13">
        <f>'[2]Oct-Dec''25'!N49+'[2]Apr-Sep''25'!N49</f>
        <v>84</v>
      </c>
      <c r="N49" s="13">
        <f>'[2]Oct-Dec''25'!O49+'[2]Apr-Sep''25'!O49</f>
        <v>84</v>
      </c>
      <c r="O49" s="8">
        <f t="shared" si="88"/>
        <v>1</v>
      </c>
      <c r="P49" s="13">
        <f>'[2]Oct-Dec''25'!Q49+'[2]Apr-Sep''25'!Q49</f>
        <v>68</v>
      </c>
      <c r="Q49" s="13">
        <f>'[2]Oct-Dec''25'!R49+'[2]Apr-Sep''25'!R49</f>
        <v>63</v>
      </c>
      <c r="R49" s="8">
        <f t="shared" si="89"/>
        <v>0.92647058823529416</v>
      </c>
      <c r="S49" s="13">
        <f>'[2]Oct-Dec''25'!T49+'[2]Apr-Sep''25'!T49</f>
        <v>362</v>
      </c>
      <c r="T49" s="13">
        <f>'[2]Oct-Dec''25'!U49+'[2]Apr-Sep''25'!U49</f>
        <v>279</v>
      </c>
      <c r="U49" s="8">
        <f t="shared" si="90"/>
        <v>0.77071823204419887</v>
      </c>
      <c r="V49" s="13">
        <f>'[2]Oct-Dec''25'!W49+'[2]Apr-Sep''25'!W49</f>
        <v>92</v>
      </c>
      <c r="W49" s="13">
        <f>'[2]Oct-Dec''25'!Y49+'[2]Apr-Sep''25'!Y49</f>
        <v>58</v>
      </c>
      <c r="X49" s="8">
        <f t="shared" si="91"/>
        <v>0.63043478260869568</v>
      </c>
      <c r="Y49" s="13">
        <f>'[2]Oct-Dec''25'!AA49+'[2]Apr-Sep''25'!AA49</f>
        <v>79</v>
      </c>
      <c r="Z49" s="13">
        <f>'[2]Oct-Dec''25'!AB49+'[2]Apr-Sep''25'!AB49</f>
        <v>79</v>
      </c>
      <c r="AA49" s="8">
        <f t="shared" si="92"/>
        <v>1</v>
      </c>
      <c r="AB49" s="13">
        <f>'[2]Oct-Dec''25'!AD49+'[2]Apr-Sep''25'!AD49</f>
        <v>71</v>
      </c>
      <c r="AC49" s="13">
        <f>'[2]Oct-Dec''25'!AE49+'[2]Apr-Sep''25'!AE49</f>
        <v>0</v>
      </c>
      <c r="AD49" s="8">
        <f t="shared" si="93"/>
        <v>0</v>
      </c>
      <c r="AE49" s="13">
        <f>'[2]Oct-Dec''25'!AJ49+'[2]Apr-Sep''25'!AJ49</f>
        <v>357</v>
      </c>
      <c r="AF49" s="13">
        <f>'[2]Oct-Dec''25'!AK49+'[2]Apr-Sep''25'!AK49</f>
        <v>301</v>
      </c>
      <c r="AG49" s="8">
        <f t="shared" si="94"/>
        <v>0.84313725490196079</v>
      </c>
      <c r="AH49" s="13">
        <f>'[2]Oct-Dec''25'!AM49+'[2]Apr-Sep''25'!AM49</f>
        <v>0</v>
      </c>
      <c r="AI49" s="13">
        <f>'[2]Oct-Dec''25'!AN49+'[2]Apr-Sep''25'!AN49</f>
        <v>0</v>
      </c>
      <c r="AJ49" s="8" t="e">
        <f t="shared" si="95"/>
        <v>#DIV/0!</v>
      </c>
      <c r="AK49" s="13">
        <f>'[2]Oct-Dec''25'!AP49+'[2]Apr-Sep''25'!AP49</f>
        <v>34</v>
      </c>
      <c r="AL49" s="13">
        <f>'[2]Oct-Dec''25'!AQ49+'[2]Apr-Sep''25'!AQ49</f>
        <v>0</v>
      </c>
      <c r="AM49" s="8">
        <f t="shared" si="96"/>
        <v>0</v>
      </c>
      <c r="AN49" s="13">
        <f>'[2]Oct-Dec''25'!AS49+'[2]Apr-Sep''25'!AS49</f>
        <v>4</v>
      </c>
      <c r="AO49" s="13">
        <f>'[2]Oct-Dec''25'!AT49+'[2]Apr-Sep''25'!AT49</f>
        <v>0</v>
      </c>
      <c r="AP49" s="8">
        <f t="shared" si="97"/>
        <v>0</v>
      </c>
      <c r="AQ49" s="13">
        <f>'[2]Oct-Dec''25'!AV49+'[2]Apr-Sep''25'!AV49</f>
        <v>0</v>
      </c>
      <c r="AR49" s="13">
        <f>'[2]Oct-Dec''25'!AW49+'[2]Apr-Sep''25'!AW49</f>
        <v>0</v>
      </c>
      <c r="AS49" s="8" t="e">
        <f t="shared" si="98"/>
        <v>#DIV/0!</v>
      </c>
      <c r="AT49" s="13">
        <f>'[2]Oct-Dec''25'!AY49+'[2]Apr-Sep''25'!AY49</f>
        <v>9</v>
      </c>
      <c r="AU49" s="13">
        <f>'[2]Oct-Dec''25'!AZ49+'[2]Apr-Sep''25'!AZ49</f>
        <v>0</v>
      </c>
      <c r="AV49" s="8">
        <f t="shared" si="99"/>
        <v>0</v>
      </c>
      <c r="AW49" s="9">
        <f t="shared" si="100"/>
        <v>13</v>
      </c>
      <c r="AX49" s="9">
        <f t="shared" si="101"/>
        <v>0</v>
      </c>
      <c r="AY49" s="8">
        <f t="shared" si="102"/>
        <v>0</v>
      </c>
      <c r="AZ49" s="13">
        <f>'[2]Oct-Dec''25'!BB49+'[2]Apr-Sep''25'!BB49</f>
        <v>0</v>
      </c>
      <c r="BA49" s="13">
        <f>'[2]Oct-Dec''25'!BC49+'[2]Apr-Sep''25'!BC49</f>
        <v>4</v>
      </c>
      <c r="BB49" s="14">
        <f t="shared" si="103"/>
        <v>0</v>
      </c>
      <c r="BC49" s="13">
        <f>'[2]Oct-Dec''25'!BE49+'[2]Apr-Sep''25'!BE49</f>
        <v>3</v>
      </c>
      <c r="BD49" s="13">
        <f>'[2]Oct-Dec''25'!BF49+'[2]Apr-Sep''25'!BF49</f>
        <v>0</v>
      </c>
      <c r="BE49" s="14">
        <f t="shared" si="104"/>
        <v>0</v>
      </c>
      <c r="BF49" s="13">
        <f>'[2]Oct-Dec''25'!BH49+'[2]Apr-Sep''25'!BH49</f>
        <v>0</v>
      </c>
      <c r="BG49" s="13">
        <f>'[2]Oct-Dec''25'!BI49+'[2]Apr-Sep''25'!BI49</f>
        <v>0</v>
      </c>
      <c r="BH49" s="14">
        <f t="shared" si="105"/>
        <v>0</v>
      </c>
      <c r="BI49" s="13">
        <f>'[2]Oct-Dec''25'!BK49+'[2]Apr-Sep''25'!BK49</f>
        <v>0</v>
      </c>
      <c r="BJ49" s="13">
        <f>'[2]Oct-Dec''25'!BL49+'[2]Apr-Sep''25'!BL49</f>
        <v>0</v>
      </c>
      <c r="BK49" s="15">
        <f t="shared" si="106"/>
        <v>0</v>
      </c>
      <c r="BL49" s="13">
        <f>'[2]Oct-Dec''25'!BN49+'[2]Apr-Sep''25'!BN49</f>
        <v>2</v>
      </c>
      <c r="BM49" s="13">
        <f>'[2]Oct-Dec''25'!BO49+'[2]Apr-Sep''25'!BO49</f>
        <v>2</v>
      </c>
      <c r="BN49" s="15">
        <f t="shared" si="107"/>
        <v>1</v>
      </c>
      <c r="BO49" s="13">
        <f>'[2]Oct-Dec''25'!BQ49+'[2]Apr-Sep''25'!BQ49</f>
        <v>0</v>
      </c>
      <c r="BP49" s="13">
        <f>'[2]Oct-Dec''25'!BR49+'[2]Apr-Sep''25'!BR49</f>
        <v>0</v>
      </c>
      <c r="BQ49" s="15">
        <f t="shared" si="108"/>
        <v>0</v>
      </c>
      <c r="BR49" s="13">
        <f>'[2]Oct-Dec''25'!BT49+'[2]Apr-Sep''25'!BT49</f>
        <v>1</v>
      </c>
      <c r="BS49" s="13">
        <f>'[2]Oct-Dec''25'!BU49+'[2]Apr-Sep''25'!BU49</f>
        <v>1</v>
      </c>
      <c r="BT49" s="14">
        <f t="shared" si="109"/>
        <v>1</v>
      </c>
      <c r="BU49" s="13">
        <f>'[2]Oct-Dec''25'!BW49+'[2]Apr-Sep''25'!BW49</f>
        <v>0</v>
      </c>
      <c r="BV49" s="13">
        <f>'[2]Oct-Dec''25'!BX49+'[2]Apr-Sep''25'!BX49</f>
        <v>0</v>
      </c>
      <c r="BW49" s="14">
        <f t="shared" si="110"/>
        <v>0</v>
      </c>
      <c r="BX49" s="13">
        <f>'[2]Oct-Dec''25'!BZ49+'[2]Apr-Sep''25'!BZ49</f>
        <v>96</v>
      </c>
      <c r="BY49" s="13">
        <f>'[2]Oct-Dec''25'!CA49+'[2]Apr-Sep''25'!CA49</f>
        <v>96</v>
      </c>
      <c r="BZ49" s="14">
        <f t="shared" si="111"/>
        <v>1</v>
      </c>
      <c r="CA49" s="13">
        <f>'[2]Oct-Dec''25'!CC49+'[2]Apr-Sep''25'!CC49</f>
        <v>2</v>
      </c>
      <c r="CB49" s="13">
        <f>'[2]Oct-Dec''25'!CD49+'[2]Apr-Sep''25'!CD49</f>
        <v>6</v>
      </c>
      <c r="CC49" s="14">
        <f t="shared" si="112"/>
        <v>3</v>
      </c>
      <c r="CD49" s="13">
        <f>'[2]Oct-Dec''25'!CF49+'[2]Apr-Sep''25'!CF49</f>
        <v>0</v>
      </c>
      <c r="CE49" s="13">
        <f>'[2]Oct-Dec''25'!CG49+'[2]Apr-Sep''25'!CG49</f>
        <v>0</v>
      </c>
      <c r="CF49" s="14">
        <f t="shared" si="113"/>
        <v>0</v>
      </c>
    </row>
    <row r="50" spans="1:84" ht="48" x14ac:dyDescent="0.25">
      <c r="A50" s="12">
        <f>'[2]Oct-Dec''25'!A50</f>
        <v>44</v>
      </c>
      <c r="B50" s="12" t="str">
        <f>'[2]Oct-Dec''25'!B50</f>
        <v>YRG Care</v>
      </c>
      <c r="C50" s="1" t="str">
        <f>'[2]Oct-Dec''25'!C50</f>
        <v>Rajasthan</v>
      </c>
      <c r="D50" s="3" t="str">
        <f>'[2]Oct-Dec''25'!D50</f>
        <v>PALI MARWAR NETWORK FOR PEOPLE LIVING WITH HIV/AIDS SANSTHAN</v>
      </c>
      <c r="E50" s="1" t="str">
        <f>'[2]Oct-Dec''25'!E50</f>
        <v>PALI</v>
      </c>
      <c r="F50" s="12" t="s">
        <v>85</v>
      </c>
      <c r="G50" s="13">
        <f>'[2]Oct-Dec''25'!H50+'[2]Apr-Sep''25'!H50</f>
        <v>282</v>
      </c>
      <c r="H50" s="13">
        <f>'[2]Oct-Dec''25'!I50+'[2]Apr-Sep''25'!I50</f>
        <v>263</v>
      </c>
      <c r="I50" s="7">
        <f t="shared" si="87"/>
        <v>0.93262411347517726</v>
      </c>
      <c r="J50" s="13">
        <f>'[2]Oct-Dec''25'!K50+'[2]Apr-Sep''25'!K50</f>
        <v>14</v>
      </c>
      <c r="K50" s="13">
        <f>'[2]Oct-Dec''25'!L50+'[2]Apr-Sep''25'!L50</f>
        <v>14</v>
      </c>
      <c r="L50" s="7">
        <f>K50/J50</f>
        <v>1</v>
      </c>
      <c r="M50" s="13">
        <f>'[2]Oct-Dec''25'!N50+'[2]Apr-Sep''25'!N50</f>
        <v>259</v>
      </c>
      <c r="N50" s="13">
        <f>'[2]Oct-Dec''25'!O50+'[2]Apr-Sep''25'!O50</f>
        <v>259</v>
      </c>
      <c r="O50" s="8">
        <f t="shared" si="88"/>
        <v>1</v>
      </c>
      <c r="P50" s="13">
        <f>'[2]Oct-Dec''25'!Q50+'[2]Apr-Sep''25'!Q50</f>
        <v>220</v>
      </c>
      <c r="Q50" s="13">
        <f>'[2]Oct-Dec''25'!R50+'[2]Apr-Sep''25'!R50</f>
        <v>204</v>
      </c>
      <c r="R50" s="8">
        <f t="shared" si="89"/>
        <v>0.92727272727272725</v>
      </c>
      <c r="S50" s="13">
        <f>'[2]Oct-Dec''25'!T50+'[2]Apr-Sep''25'!T50</f>
        <v>3001</v>
      </c>
      <c r="T50" s="13">
        <f>'[2]Oct-Dec''25'!U50+'[2]Apr-Sep''25'!U50</f>
        <v>2413</v>
      </c>
      <c r="U50" s="8">
        <f t="shared" si="90"/>
        <v>0.80406531156281236</v>
      </c>
      <c r="V50" s="13">
        <f>'[2]Oct-Dec''25'!W50+'[2]Apr-Sep''25'!W50</f>
        <v>991</v>
      </c>
      <c r="W50" s="13">
        <f>'[2]Oct-Dec''25'!Y50+'[2]Apr-Sep''25'!Y50</f>
        <v>751</v>
      </c>
      <c r="X50" s="8">
        <f t="shared" si="91"/>
        <v>0.75782038345105951</v>
      </c>
      <c r="Y50" s="13">
        <f>'[2]Oct-Dec''25'!AA50+'[2]Apr-Sep''25'!AA50</f>
        <v>208</v>
      </c>
      <c r="Z50" s="13">
        <f>'[2]Oct-Dec''25'!AB50+'[2]Apr-Sep''25'!AB50</f>
        <v>208</v>
      </c>
      <c r="AA50" s="8">
        <f t="shared" si="92"/>
        <v>1</v>
      </c>
      <c r="AB50" s="13">
        <f>'[2]Oct-Dec''25'!AD50+'[2]Apr-Sep''25'!AD50</f>
        <v>213</v>
      </c>
      <c r="AC50" s="13">
        <f>'[2]Oct-Dec''25'!AE50+'[2]Apr-Sep''25'!AE50</f>
        <v>22</v>
      </c>
      <c r="AD50" s="8">
        <f t="shared" si="93"/>
        <v>0.10328638497652583</v>
      </c>
      <c r="AE50" s="13">
        <f>'[2]Oct-Dec''25'!AJ50+'[2]Apr-Sep''25'!AJ50</f>
        <v>972</v>
      </c>
      <c r="AF50" s="13">
        <f>'[2]Oct-Dec''25'!AK50+'[2]Apr-Sep''25'!AK50</f>
        <v>634</v>
      </c>
      <c r="AG50" s="8">
        <f t="shared" si="94"/>
        <v>0.65226337448559668</v>
      </c>
      <c r="AH50" s="13">
        <f>'[2]Oct-Dec''25'!AM50+'[2]Apr-Sep''25'!AM50</f>
        <v>0</v>
      </c>
      <c r="AI50" s="13">
        <f>'[2]Oct-Dec''25'!AN50+'[2]Apr-Sep''25'!AN50</f>
        <v>0</v>
      </c>
      <c r="AJ50" s="8" t="e">
        <f t="shared" si="95"/>
        <v>#DIV/0!</v>
      </c>
      <c r="AK50" s="13">
        <f>'[2]Oct-Dec''25'!AP50+'[2]Apr-Sep''25'!AP50</f>
        <v>135</v>
      </c>
      <c r="AL50" s="13">
        <f>'[2]Oct-Dec''25'!AQ50+'[2]Apr-Sep''25'!AQ50</f>
        <v>91</v>
      </c>
      <c r="AM50" s="8">
        <f t="shared" si="96"/>
        <v>0.67407407407407405</v>
      </c>
      <c r="AN50" s="13">
        <f>'[2]Oct-Dec''25'!AS50+'[2]Apr-Sep''25'!AS50</f>
        <v>5</v>
      </c>
      <c r="AO50" s="13">
        <f>'[2]Oct-Dec''25'!AT50+'[2]Apr-Sep''25'!AT50</f>
        <v>1</v>
      </c>
      <c r="AP50" s="8">
        <f t="shared" si="97"/>
        <v>0.2</v>
      </c>
      <c r="AQ50" s="13">
        <f>'[2]Oct-Dec''25'!AV50+'[2]Apr-Sep''25'!AV50</f>
        <v>0</v>
      </c>
      <c r="AR50" s="13">
        <f>'[2]Oct-Dec''25'!AW50+'[2]Apr-Sep''25'!AW50</f>
        <v>0</v>
      </c>
      <c r="AS50" s="8" t="e">
        <f t="shared" si="98"/>
        <v>#DIV/0!</v>
      </c>
      <c r="AT50" s="13">
        <f>'[2]Oct-Dec''25'!AY50+'[2]Apr-Sep''25'!AY50</f>
        <v>48</v>
      </c>
      <c r="AU50" s="13">
        <f>'[2]Oct-Dec''25'!AZ50+'[2]Apr-Sep''25'!AZ50</f>
        <v>16</v>
      </c>
      <c r="AV50" s="8">
        <f t="shared" si="99"/>
        <v>0.33333333333333331</v>
      </c>
      <c r="AW50" s="9">
        <f t="shared" si="100"/>
        <v>53</v>
      </c>
      <c r="AX50" s="9">
        <f t="shared" si="101"/>
        <v>17</v>
      </c>
      <c r="AY50" s="8">
        <f t="shared" si="102"/>
        <v>0.32075471698113206</v>
      </c>
      <c r="AZ50" s="13">
        <f>'[2]Oct-Dec''25'!BB50+'[2]Apr-Sep''25'!BB50</f>
        <v>0</v>
      </c>
      <c r="BA50" s="13">
        <f>'[2]Oct-Dec''25'!BC50+'[2]Apr-Sep''25'!BC50</f>
        <v>0</v>
      </c>
      <c r="BB50" s="14">
        <f t="shared" si="103"/>
        <v>0</v>
      </c>
      <c r="BC50" s="13">
        <f>'[2]Oct-Dec''25'!BE50+'[2]Apr-Sep''25'!BE50</f>
        <v>0</v>
      </c>
      <c r="BD50" s="13">
        <f>'[2]Oct-Dec''25'!BF50+'[2]Apr-Sep''25'!BF50</f>
        <v>0</v>
      </c>
      <c r="BE50" s="14">
        <f t="shared" si="104"/>
        <v>0</v>
      </c>
      <c r="BF50" s="13">
        <f>'[2]Oct-Dec''25'!BH50+'[2]Apr-Sep''25'!BH50</f>
        <v>2</v>
      </c>
      <c r="BG50" s="13">
        <f>'[2]Oct-Dec''25'!BI50+'[2]Apr-Sep''25'!BI50</f>
        <v>1</v>
      </c>
      <c r="BH50" s="14">
        <f t="shared" si="105"/>
        <v>0.5</v>
      </c>
      <c r="BI50" s="13">
        <f>'[2]Oct-Dec''25'!BK50+'[2]Apr-Sep''25'!BK50</f>
        <v>0</v>
      </c>
      <c r="BJ50" s="13">
        <f>'[2]Oct-Dec''25'!BL50+'[2]Apr-Sep''25'!BL50</f>
        <v>0</v>
      </c>
      <c r="BK50" s="15">
        <f t="shared" si="106"/>
        <v>0</v>
      </c>
      <c r="BL50" s="13">
        <f>'[2]Oct-Dec''25'!BN50+'[2]Apr-Sep''25'!BN50</f>
        <v>0</v>
      </c>
      <c r="BM50" s="13">
        <f>'[2]Oct-Dec''25'!BO50+'[2]Apr-Sep''25'!BO50</f>
        <v>0</v>
      </c>
      <c r="BN50" s="15">
        <f t="shared" si="107"/>
        <v>0</v>
      </c>
      <c r="BO50" s="13">
        <f>'[2]Oct-Dec''25'!BQ50+'[2]Apr-Sep''25'!BQ50</f>
        <v>0</v>
      </c>
      <c r="BP50" s="13">
        <f>'[2]Oct-Dec''25'!BR50+'[2]Apr-Sep''25'!BR50</f>
        <v>0</v>
      </c>
      <c r="BQ50" s="15">
        <f t="shared" si="108"/>
        <v>0</v>
      </c>
      <c r="BR50" s="13">
        <f>'[2]Oct-Dec''25'!BT50+'[2]Apr-Sep''25'!BT50</f>
        <v>0</v>
      </c>
      <c r="BS50" s="13">
        <f>'[2]Oct-Dec''25'!BU50+'[2]Apr-Sep''25'!BU50</f>
        <v>2</v>
      </c>
      <c r="BT50" s="14">
        <f t="shared" si="109"/>
        <v>0</v>
      </c>
      <c r="BU50" s="13">
        <f>'[2]Oct-Dec''25'!BW50+'[2]Apr-Sep''25'!BW50</f>
        <v>0</v>
      </c>
      <c r="BV50" s="13">
        <f>'[2]Oct-Dec''25'!BX50+'[2]Apr-Sep''25'!BX50</f>
        <v>0</v>
      </c>
      <c r="BW50" s="14">
        <f t="shared" si="110"/>
        <v>0</v>
      </c>
      <c r="BX50" s="13">
        <f>'[2]Oct-Dec''25'!BZ50+'[2]Apr-Sep''25'!BZ50</f>
        <v>263</v>
      </c>
      <c r="BY50" s="13">
        <f>'[2]Oct-Dec''25'!CA50+'[2]Apr-Sep''25'!CA50</f>
        <v>263</v>
      </c>
      <c r="BZ50" s="14">
        <f t="shared" si="111"/>
        <v>1</v>
      </c>
      <c r="CA50" s="13">
        <f>'[2]Oct-Dec''25'!CC50+'[2]Apr-Sep''25'!CC50</f>
        <v>12</v>
      </c>
      <c r="CB50" s="13">
        <f>'[2]Oct-Dec''25'!CD50+'[2]Apr-Sep''25'!CD50</f>
        <v>12</v>
      </c>
      <c r="CC50" s="14">
        <f t="shared" si="112"/>
        <v>1</v>
      </c>
      <c r="CD50" s="13">
        <f>'[2]Oct-Dec''25'!CF50+'[2]Apr-Sep''25'!CF50</f>
        <v>0</v>
      </c>
      <c r="CE50" s="13">
        <f>'[2]Oct-Dec''25'!CG50+'[2]Apr-Sep''25'!CG50</f>
        <v>0</v>
      </c>
      <c r="CF50" s="14">
        <f t="shared" si="113"/>
        <v>0</v>
      </c>
    </row>
    <row r="51" spans="1:84" ht="36" x14ac:dyDescent="0.25">
      <c r="A51" s="12">
        <f>'[2]Oct-Dec''25'!A51</f>
        <v>45</v>
      </c>
      <c r="B51" s="12" t="str">
        <f>'[2]Oct-Dec''25'!B51</f>
        <v>YRG Care</v>
      </c>
      <c r="C51" s="1" t="str">
        <f>'[2]Oct-Dec''25'!C51</f>
        <v>Rajasthan</v>
      </c>
      <c r="D51" s="3" t="str">
        <f>'[2]Oct-Dec''25'!D51</f>
        <v>JALORE NETWORK OF PEOPLE LIVING WITH HIV/AIDS SANSTHAN</v>
      </c>
      <c r="E51" s="1" t="str">
        <f>'[2]Oct-Dec''25'!E51</f>
        <v>JALORE</v>
      </c>
      <c r="F51" s="12" t="s">
        <v>85</v>
      </c>
      <c r="G51" s="13">
        <f>'[2]Oct-Dec''25'!H51+'[2]Apr-Sep''25'!H51</f>
        <v>113</v>
      </c>
      <c r="H51" s="13">
        <f>'[2]Oct-Dec''25'!I51+'[2]Apr-Sep''25'!I51</f>
        <v>100</v>
      </c>
      <c r="I51" s="7">
        <f t="shared" si="87"/>
        <v>0.88495575221238942</v>
      </c>
      <c r="J51" s="13">
        <f>'[2]Oct-Dec''25'!K51+'[2]Apr-Sep''25'!K51</f>
        <v>0</v>
      </c>
      <c r="K51" s="13">
        <f>'[2]Oct-Dec''25'!L51+'[2]Apr-Sep''25'!L51</f>
        <v>0</v>
      </c>
      <c r="L51" s="7"/>
      <c r="M51" s="13">
        <f>'[2]Oct-Dec''25'!N51+'[2]Apr-Sep''25'!N51</f>
        <v>96</v>
      </c>
      <c r="N51" s="13">
        <f>'[2]Oct-Dec''25'!O51+'[2]Apr-Sep''25'!O51</f>
        <v>88</v>
      </c>
      <c r="O51" s="8">
        <f t="shared" si="88"/>
        <v>0.91666666666666663</v>
      </c>
      <c r="P51" s="13">
        <f>'[2]Oct-Dec''25'!Q51+'[2]Apr-Sep''25'!Q51</f>
        <v>103</v>
      </c>
      <c r="Q51" s="13">
        <f>'[2]Oct-Dec''25'!R51+'[2]Apr-Sep''25'!R51</f>
        <v>89</v>
      </c>
      <c r="R51" s="8">
        <f t="shared" si="89"/>
        <v>0.86407766990291257</v>
      </c>
      <c r="S51" s="13">
        <f>'[2]Oct-Dec''25'!T51+'[2]Apr-Sep''25'!T51</f>
        <v>702</v>
      </c>
      <c r="T51" s="13">
        <f>'[2]Oct-Dec''25'!U51+'[2]Apr-Sep''25'!U51</f>
        <v>521</v>
      </c>
      <c r="U51" s="8">
        <f t="shared" si="90"/>
        <v>0.74216524216524216</v>
      </c>
      <c r="V51" s="13">
        <f>'[2]Oct-Dec''25'!W51+'[2]Apr-Sep''25'!W51</f>
        <v>250</v>
      </c>
      <c r="W51" s="13">
        <f>'[2]Oct-Dec''25'!Y51+'[2]Apr-Sep''25'!Y51</f>
        <v>170</v>
      </c>
      <c r="X51" s="8">
        <f t="shared" si="91"/>
        <v>0.68</v>
      </c>
      <c r="Y51" s="13">
        <f>'[2]Oct-Dec''25'!AA51+'[2]Apr-Sep''25'!AA51</f>
        <v>300</v>
      </c>
      <c r="Z51" s="13">
        <f>'[2]Oct-Dec''25'!AB51+'[2]Apr-Sep''25'!AB51</f>
        <v>300</v>
      </c>
      <c r="AA51" s="8">
        <f t="shared" si="92"/>
        <v>1</v>
      </c>
      <c r="AB51" s="13">
        <f>'[2]Oct-Dec''25'!AD51+'[2]Apr-Sep''25'!AD51</f>
        <v>301</v>
      </c>
      <c r="AC51" s="13">
        <f>'[2]Oct-Dec''25'!AE51+'[2]Apr-Sep''25'!AE51</f>
        <v>0</v>
      </c>
      <c r="AD51" s="8">
        <f t="shared" si="93"/>
        <v>0</v>
      </c>
      <c r="AE51" s="13">
        <f>'[2]Oct-Dec''25'!AJ51+'[2]Apr-Sep''25'!AJ51</f>
        <v>1126</v>
      </c>
      <c r="AF51" s="13">
        <f>'[2]Oct-Dec''25'!AK51+'[2]Apr-Sep''25'!AK51</f>
        <v>590</v>
      </c>
      <c r="AG51" s="8">
        <f t="shared" si="94"/>
        <v>0.5239786856127886</v>
      </c>
      <c r="AH51" s="13">
        <f>'[2]Oct-Dec''25'!AM51+'[2]Apr-Sep''25'!AM51</f>
        <v>5</v>
      </c>
      <c r="AI51" s="13">
        <f>'[2]Oct-Dec''25'!AN51+'[2]Apr-Sep''25'!AN51</f>
        <v>4</v>
      </c>
      <c r="AJ51" s="8">
        <f t="shared" si="95"/>
        <v>0.8</v>
      </c>
      <c r="AK51" s="13">
        <f>'[2]Oct-Dec''25'!AP51+'[2]Apr-Sep''25'!AP51</f>
        <v>97</v>
      </c>
      <c r="AL51" s="13">
        <f>'[2]Oct-Dec''25'!AQ51+'[2]Apr-Sep''25'!AQ51</f>
        <v>36</v>
      </c>
      <c r="AM51" s="8">
        <f t="shared" si="96"/>
        <v>0.37113402061855671</v>
      </c>
      <c r="AN51" s="13">
        <f>'[2]Oct-Dec''25'!AS51+'[2]Apr-Sep''25'!AS51</f>
        <v>6</v>
      </c>
      <c r="AO51" s="13">
        <f>'[2]Oct-Dec''25'!AT51+'[2]Apr-Sep''25'!AT51</f>
        <v>0</v>
      </c>
      <c r="AP51" s="8">
        <f t="shared" si="97"/>
        <v>0</v>
      </c>
      <c r="AQ51" s="13">
        <f>'[2]Oct-Dec''25'!AV51+'[2]Apr-Sep''25'!AV51</f>
        <v>0</v>
      </c>
      <c r="AR51" s="13">
        <f>'[2]Oct-Dec''25'!AW51+'[2]Apr-Sep''25'!AW51</f>
        <v>0</v>
      </c>
      <c r="AS51" s="8" t="e">
        <f t="shared" si="98"/>
        <v>#DIV/0!</v>
      </c>
      <c r="AT51" s="13">
        <f>'[2]Oct-Dec''25'!AY51+'[2]Apr-Sep''25'!AY51</f>
        <v>2</v>
      </c>
      <c r="AU51" s="13">
        <f>'[2]Oct-Dec''25'!AZ51+'[2]Apr-Sep''25'!AZ51</f>
        <v>0</v>
      </c>
      <c r="AV51" s="8">
        <f t="shared" si="99"/>
        <v>0</v>
      </c>
      <c r="AW51" s="9">
        <f t="shared" si="100"/>
        <v>8</v>
      </c>
      <c r="AX51" s="9">
        <f t="shared" si="101"/>
        <v>0</v>
      </c>
      <c r="AY51" s="8">
        <f t="shared" si="102"/>
        <v>0</v>
      </c>
      <c r="AZ51" s="13">
        <f>'[2]Oct-Dec''25'!BB51+'[2]Apr-Sep''25'!BB51</f>
        <v>0</v>
      </c>
      <c r="BA51" s="13">
        <f>'[2]Oct-Dec''25'!BC51+'[2]Apr-Sep''25'!BC51</f>
        <v>13</v>
      </c>
      <c r="BB51" s="14">
        <f t="shared" si="103"/>
        <v>0</v>
      </c>
      <c r="BC51" s="13">
        <f>'[2]Oct-Dec''25'!BE51+'[2]Apr-Sep''25'!BE51</f>
        <v>4</v>
      </c>
      <c r="BD51" s="13">
        <f>'[2]Oct-Dec''25'!BF51+'[2]Apr-Sep''25'!BF51</f>
        <v>0</v>
      </c>
      <c r="BE51" s="14">
        <f t="shared" si="104"/>
        <v>0</v>
      </c>
      <c r="BF51" s="13">
        <f>'[2]Oct-Dec''25'!BH51+'[2]Apr-Sep''25'!BH51</f>
        <v>4</v>
      </c>
      <c r="BG51" s="13">
        <f>'[2]Oct-Dec''25'!BI51+'[2]Apr-Sep''25'!BI51</f>
        <v>4</v>
      </c>
      <c r="BH51" s="14">
        <f t="shared" si="105"/>
        <v>1</v>
      </c>
      <c r="BI51" s="13">
        <f>'[2]Oct-Dec''25'!BK51+'[2]Apr-Sep''25'!BK51</f>
        <v>0</v>
      </c>
      <c r="BJ51" s="13">
        <f>'[2]Oct-Dec''25'!BL51+'[2]Apr-Sep''25'!BL51</f>
        <v>0</v>
      </c>
      <c r="BK51" s="15">
        <f t="shared" si="106"/>
        <v>0</v>
      </c>
      <c r="BL51" s="13">
        <f>'[2]Oct-Dec''25'!BN51+'[2]Apr-Sep''25'!BN51</f>
        <v>1</v>
      </c>
      <c r="BM51" s="13">
        <f>'[2]Oct-Dec''25'!BO51+'[2]Apr-Sep''25'!BO51</f>
        <v>0</v>
      </c>
      <c r="BN51" s="15">
        <f t="shared" si="107"/>
        <v>0</v>
      </c>
      <c r="BO51" s="13">
        <f>'[2]Oct-Dec''25'!BQ51+'[2]Apr-Sep''25'!BQ51</f>
        <v>0</v>
      </c>
      <c r="BP51" s="13">
        <f>'[2]Oct-Dec''25'!BR51+'[2]Apr-Sep''25'!BR51</f>
        <v>0</v>
      </c>
      <c r="BQ51" s="15">
        <f t="shared" si="108"/>
        <v>0</v>
      </c>
      <c r="BR51" s="13">
        <f>'[2]Oct-Dec''25'!BT51+'[2]Apr-Sep''25'!BT51</f>
        <v>0</v>
      </c>
      <c r="BS51" s="13">
        <f>'[2]Oct-Dec''25'!BU51+'[2]Apr-Sep''25'!BU51</f>
        <v>0</v>
      </c>
      <c r="BT51" s="14">
        <f t="shared" si="109"/>
        <v>0</v>
      </c>
      <c r="BU51" s="13">
        <f>'[2]Oct-Dec''25'!BW51+'[2]Apr-Sep''25'!BW51</f>
        <v>0</v>
      </c>
      <c r="BV51" s="13">
        <f>'[2]Oct-Dec''25'!BX51+'[2]Apr-Sep''25'!BX51</f>
        <v>0</v>
      </c>
      <c r="BW51" s="14">
        <f t="shared" si="110"/>
        <v>0</v>
      </c>
      <c r="BX51" s="13">
        <f>'[2]Oct-Dec''25'!BZ51+'[2]Apr-Sep''25'!BZ51</f>
        <v>100</v>
      </c>
      <c r="BY51" s="13">
        <f>'[2]Oct-Dec''25'!CA51+'[2]Apr-Sep''25'!CA51</f>
        <v>101</v>
      </c>
      <c r="BZ51" s="14">
        <f t="shared" si="111"/>
        <v>1.01</v>
      </c>
      <c r="CA51" s="13">
        <f>'[2]Oct-Dec''25'!CC51+'[2]Apr-Sep''25'!CC51</f>
        <v>0</v>
      </c>
      <c r="CB51" s="13">
        <f>'[2]Oct-Dec''25'!CD51+'[2]Apr-Sep''25'!CD51</f>
        <v>6</v>
      </c>
      <c r="CC51" s="14">
        <f t="shared" si="112"/>
        <v>0</v>
      </c>
      <c r="CD51" s="13">
        <f>'[2]Oct-Dec''25'!CF51+'[2]Apr-Sep''25'!CF51</f>
        <v>300</v>
      </c>
      <c r="CE51" s="13">
        <f>'[2]Oct-Dec''25'!CG51+'[2]Apr-Sep''25'!CG51</f>
        <v>236</v>
      </c>
      <c r="CF51" s="14">
        <f t="shared" si="113"/>
        <v>0.78666666666666663</v>
      </c>
    </row>
    <row r="52" spans="1:84" ht="36" x14ac:dyDescent="0.25">
      <c r="A52" s="12">
        <f>'[2]Oct-Dec''25'!A52</f>
        <v>46</v>
      </c>
      <c r="B52" s="12" t="str">
        <f>'[2]Oct-Dec''25'!B52</f>
        <v>YRG Care</v>
      </c>
      <c r="C52" s="1" t="str">
        <f>'[2]Oct-Dec''25'!C52</f>
        <v>Rajasthan</v>
      </c>
      <c r="D52" s="3" t="str">
        <f>'[2]Oct-Dec''25'!D52</f>
        <v>POSITIVE WOMEN NETWORK OF RAJASTHAN SOCIETY</v>
      </c>
      <c r="E52" s="1" t="str">
        <f>'[2]Oct-Dec''25'!E52</f>
        <v>SHRI GANGANAGAR</v>
      </c>
      <c r="F52" s="12" t="s">
        <v>85</v>
      </c>
      <c r="G52" s="13">
        <f>'[2]Oct-Dec''25'!H52+'[2]Apr-Sep''25'!H52</f>
        <v>484</v>
      </c>
      <c r="H52" s="13">
        <f>'[2]Oct-Dec''25'!I52+'[2]Apr-Sep''25'!I52</f>
        <v>482</v>
      </c>
      <c r="I52" s="7">
        <f t="shared" si="87"/>
        <v>0.99586776859504134</v>
      </c>
      <c r="J52" s="13">
        <f>'[2]Oct-Dec''25'!K52+'[2]Apr-Sep''25'!K52</f>
        <v>4</v>
      </c>
      <c r="K52" s="13">
        <f>'[2]Oct-Dec''25'!L52+'[2]Apr-Sep''25'!L52</f>
        <v>4</v>
      </c>
      <c r="L52" s="7">
        <f>K52/J52</f>
        <v>1</v>
      </c>
      <c r="M52" s="13">
        <f>'[2]Oct-Dec''25'!N52+'[2]Apr-Sep''25'!N52</f>
        <v>387</v>
      </c>
      <c r="N52" s="13">
        <f>'[2]Oct-Dec''25'!O52+'[2]Apr-Sep''25'!O52</f>
        <v>387</v>
      </c>
      <c r="O52" s="8">
        <f t="shared" si="88"/>
        <v>1</v>
      </c>
      <c r="P52" s="13">
        <f>'[2]Oct-Dec''25'!Q52+'[2]Apr-Sep''25'!Q52</f>
        <v>264</v>
      </c>
      <c r="Q52" s="13">
        <f>'[2]Oct-Dec''25'!R52+'[2]Apr-Sep''25'!R52</f>
        <v>237</v>
      </c>
      <c r="R52" s="8">
        <f t="shared" si="89"/>
        <v>0.89772727272727271</v>
      </c>
      <c r="S52" s="13">
        <f>'[2]Oct-Dec''25'!T52+'[2]Apr-Sep''25'!T52</f>
        <v>1091</v>
      </c>
      <c r="T52" s="13">
        <f>'[2]Oct-Dec''25'!U52+'[2]Apr-Sep''25'!U52</f>
        <v>786</v>
      </c>
      <c r="U52" s="8">
        <f t="shared" si="90"/>
        <v>0.7204399633363886</v>
      </c>
      <c r="V52" s="13">
        <f>'[2]Oct-Dec''25'!W52+'[2]Apr-Sep''25'!W52</f>
        <v>593</v>
      </c>
      <c r="W52" s="13">
        <f>'[2]Oct-Dec''25'!Y52+'[2]Apr-Sep''25'!Y52</f>
        <v>397</v>
      </c>
      <c r="X52" s="8">
        <f t="shared" si="91"/>
        <v>0.6694772344013491</v>
      </c>
      <c r="Y52" s="13">
        <f>'[2]Oct-Dec''25'!AA52+'[2]Apr-Sep''25'!AA52</f>
        <v>113</v>
      </c>
      <c r="Z52" s="13">
        <f>'[2]Oct-Dec''25'!AB52+'[2]Apr-Sep''25'!AB52</f>
        <v>113</v>
      </c>
      <c r="AA52" s="8">
        <f t="shared" si="92"/>
        <v>1</v>
      </c>
      <c r="AB52" s="13">
        <f>'[2]Oct-Dec''25'!AD52+'[2]Apr-Sep''25'!AD52</f>
        <v>36</v>
      </c>
      <c r="AC52" s="13">
        <f>'[2]Oct-Dec''25'!AE52+'[2]Apr-Sep''25'!AE52</f>
        <v>3</v>
      </c>
      <c r="AD52" s="8">
        <f t="shared" si="93"/>
        <v>8.3333333333333329E-2</v>
      </c>
      <c r="AE52" s="13">
        <f>'[2]Oct-Dec''25'!AJ52+'[2]Apr-Sep''25'!AJ52</f>
        <v>183</v>
      </c>
      <c r="AF52" s="13">
        <f>'[2]Oct-Dec''25'!AK52+'[2]Apr-Sep''25'!AK52</f>
        <v>106</v>
      </c>
      <c r="AG52" s="8">
        <f t="shared" si="94"/>
        <v>0.57923497267759561</v>
      </c>
      <c r="AH52" s="13">
        <f>'[2]Oct-Dec''25'!AM52+'[2]Apr-Sep''25'!AM52</f>
        <v>0</v>
      </c>
      <c r="AI52" s="13">
        <f>'[2]Oct-Dec''25'!AN52+'[2]Apr-Sep''25'!AN52</f>
        <v>0</v>
      </c>
      <c r="AJ52" s="8" t="e">
        <f t="shared" si="95"/>
        <v>#DIV/0!</v>
      </c>
      <c r="AK52" s="13">
        <f>'[2]Oct-Dec''25'!AP52+'[2]Apr-Sep''25'!AP52</f>
        <v>66</v>
      </c>
      <c r="AL52" s="13">
        <f>'[2]Oct-Dec''25'!AQ52+'[2]Apr-Sep''25'!AQ52</f>
        <v>16</v>
      </c>
      <c r="AM52" s="8">
        <f t="shared" si="96"/>
        <v>0.24242424242424243</v>
      </c>
      <c r="AN52" s="13">
        <f>'[2]Oct-Dec''25'!AS52+'[2]Apr-Sep''25'!AS52</f>
        <v>27</v>
      </c>
      <c r="AO52" s="13">
        <f>'[2]Oct-Dec''25'!AT52+'[2]Apr-Sep''25'!AT52</f>
        <v>12</v>
      </c>
      <c r="AP52" s="8">
        <f t="shared" si="97"/>
        <v>0.44444444444444442</v>
      </c>
      <c r="AQ52" s="13">
        <f>'[2]Oct-Dec''25'!AV52+'[2]Apr-Sep''25'!AV52</f>
        <v>0</v>
      </c>
      <c r="AR52" s="13">
        <f>'[2]Oct-Dec''25'!AW52+'[2]Apr-Sep''25'!AW52</f>
        <v>0</v>
      </c>
      <c r="AS52" s="8" t="e">
        <f t="shared" si="98"/>
        <v>#DIV/0!</v>
      </c>
      <c r="AT52" s="13">
        <f>'[2]Oct-Dec''25'!AY52+'[2]Apr-Sep''25'!AY52</f>
        <v>18</v>
      </c>
      <c r="AU52" s="13">
        <f>'[2]Oct-Dec''25'!AZ52+'[2]Apr-Sep''25'!AZ52</f>
        <v>6</v>
      </c>
      <c r="AV52" s="8">
        <f t="shared" si="99"/>
        <v>0.33333333333333331</v>
      </c>
      <c r="AW52" s="9">
        <f t="shared" si="100"/>
        <v>45</v>
      </c>
      <c r="AX52" s="9">
        <f t="shared" si="101"/>
        <v>18</v>
      </c>
      <c r="AY52" s="8">
        <f t="shared" si="102"/>
        <v>0.4</v>
      </c>
      <c r="AZ52" s="13">
        <f>'[2]Oct-Dec''25'!BB52+'[2]Apr-Sep''25'!BB52</f>
        <v>20</v>
      </c>
      <c r="BA52" s="13">
        <f>'[2]Oct-Dec''25'!BC52+'[2]Apr-Sep''25'!BC52</f>
        <v>4</v>
      </c>
      <c r="BB52" s="14">
        <f t="shared" si="103"/>
        <v>0.2</v>
      </c>
      <c r="BC52" s="13">
        <f>'[2]Oct-Dec''25'!BE52+'[2]Apr-Sep''25'!BE52</f>
        <v>13</v>
      </c>
      <c r="BD52" s="13">
        <f>'[2]Oct-Dec''25'!BF52+'[2]Apr-Sep''25'!BF52</f>
        <v>13</v>
      </c>
      <c r="BE52" s="14">
        <f t="shared" si="104"/>
        <v>1</v>
      </c>
      <c r="BF52" s="13">
        <f>'[2]Oct-Dec''25'!BH52+'[2]Apr-Sep''25'!BH52</f>
        <v>0</v>
      </c>
      <c r="BG52" s="13">
        <f>'[2]Oct-Dec''25'!BI52+'[2]Apr-Sep''25'!BI52</f>
        <v>0</v>
      </c>
      <c r="BH52" s="14">
        <f t="shared" si="105"/>
        <v>0</v>
      </c>
      <c r="BI52" s="13">
        <f>'[2]Oct-Dec''25'!BK52+'[2]Apr-Sep''25'!BK52</f>
        <v>12</v>
      </c>
      <c r="BJ52" s="13">
        <f>'[2]Oct-Dec''25'!BL52+'[2]Apr-Sep''25'!BL52</f>
        <v>3</v>
      </c>
      <c r="BK52" s="15">
        <f t="shared" si="106"/>
        <v>0.25</v>
      </c>
      <c r="BL52" s="13">
        <f>'[2]Oct-Dec''25'!BN52+'[2]Apr-Sep''25'!BN52</f>
        <v>9</v>
      </c>
      <c r="BM52" s="13">
        <f>'[2]Oct-Dec''25'!BO52+'[2]Apr-Sep''25'!BO52</f>
        <v>11</v>
      </c>
      <c r="BN52" s="15">
        <f t="shared" si="107"/>
        <v>1.2222222222222223</v>
      </c>
      <c r="BO52" s="13">
        <f>'[2]Oct-Dec''25'!BQ52+'[2]Apr-Sep''25'!BQ52</f>
        <v>12</v>
      </c>
      <c r="BP52" s="13">
        <f>'[2]Oct-Dec''25'!BR52+'[2]Apr-Sep''25'!BR52</f>
        <v>10</v>
      </c>
      <c r="BQ52" s="15">
        <f t="shared" si="108"/>
        <v>0.83333333333333337</v>
      </c>
      <c r="BR52" s="13">
        <f>'[2]Oct-Dec''25'!BT52+'[2]Apr-Sep''25'!BT52</f>
        <v>14</v>
      </c>
      <c r="BS52" s="13">
        <f>'[2]Oct-Dec''25'!BU52+'[2]Apr-Sep''25'!BU52</f>
        <v>10</v>
      </c>
      <c r="BT52" s="14">
        <f t="shared" si="109"/>
        <v>0.7142857142857143</v>
      </c>
      <c r="BU52" s="13">
        <f>'[2]Oct-Dec''25'!BW52+'[2]Apr-Sep''25'!BW52</f>
        <v>0</v>
      </c>
      <c r="BV52" s="13">
        <f>'[2]Oct-Dec''25'!BX52+'[2]Apr-Sep''25'!BX52</f>
        <v>0</v>
      </c>
      <c r="BW52" s="14">
        <f t="shared" si="110"/>
        <v>0</v>
      </c>
      <c r="BX52" s="13">
        <f>'[2]Oct-Dec''25'!BZ52+'[2]Apr-Sep''25'!BZ52</f>
        <v>482</v>
      </c>
      <c r="BY52" s="13">
        <f>'[2]Oct-Dec''25'!CA52+'[2]Apr-Sep''25'!CA52</f>
        <v>482</v>
      </c>
      <c r="BZ52" s="14">
        <f t="shared" si="111"/>
        <v>1</v>
      </c>
      <c r="CA52" s="13">
        <f>'[2]Oct-Dec''25'!CC52+'[2]Apr-Sep''25'!CC52</f>
        <v>129</v>
      </c>
      <c r="CB52" s="13">
        <f>'[2]Oct-Dec''25'!CD52+'[2]Apr-Sep''25'!CD52</f>
        <v>125</v>
      </c>
      <c r="CC52" s="14">
        <f t="shared" si="112"/>
        <v>0.96899224806201545</v>
      </c>
      <c r="CD52" s="13">
        <f>'[2]Oct-Dec''25'!CF52+'[2]Apr-Sep''25'!CF52</f>
        <v>0</v>
      </c>
      <c r="CE52" s="13">
        <f>'[2]Oct-Dec''25'!CG52+'[2]Apr-Sep''25'!CG52</f>
        <v>0</v>
      </c>
      <c r="CF52" s="14">
        <f t="shared" si="113"/>
        <v>0</v>
      </c>
    </row>
    <row r="53" spans="1:84" x14ac:dyDescent="0.25">
      <c r="A53" s="12">
        <f>'[2]Oct-Dec''25'!A53</f>
        <v>47</v>
      </c>
      <c r="B53" s="12" t="str">
        <f>'[2]Oct-Dec''25'!B53</f>
        <v>CHRI</v>
      </c>
      <c r="C53" s="1" t="str">
        <f>'[2]Oct-Dec''25'!C53</f>
        <v>SIKKIM</v>
      </c>
      <c r="D53" s="3" t="str">
        <f>'[2]Oct-Dec''25'!D53</f>
        <v>MSNP+</v>
      </c>
      <c r="E53" s="1" t="str">
        <f>'[2]Oct-Dec''25'!E53</f>
        <v>GANGTOK</v>
      </c>
      <c r="F53" s="12" t="s">
        <v>85</v>
      </c>
      <c r="G53" s="13">
        <f>'[2]Oct-Dec''25'!H53+'[2]Apr-Sep''25'!H53</f>
        <v>41</v>
      </c>
      <c r="H53" s="13">
        <f>'[2]Oct-Dec''25'!I53+'[2]Apr-Sep''25'!I53</f>
        <v>41</v>
      </c>
      <c r="I53" s="7">
        <f t="shared" si="87"/>
        <v>1</v>
      </c>
      <c r="J53" s="13">
        <f>'[2]Oct-Dec''25'!K53+'[2]Apr-Sep''25'!K53</f>
        <v>5</v>
      </c>
      <c r="K53" s="13">
        <f>'[2]Oct-Dec''25'!L53+'[2]Apr-Sep''25'!L53</f>
        <v>1</v>
      </c>
      <c r="L53" s="7">
        <f>K53/J53</f>
        <v>0.2</v>
      </c>
      <c r="M53" s="13">
        <f>'[2]Oct-Dec''25'!N53+'[2]Apr-Sep''25'!N53</f>
        <v>41</v>
      </c>
      <c r="N53" s="13">
        <f>'[2]Oct-Dec''25'!O53+'[2]Apr-Sep''25'!O53</f>
        <v>41</v>
      </c>
      <c r="O53" s="8">
        <f t="shared" si="88"/>
        <v>1</v>
      </c>
      <c r="P53" s="13">
        <f>'[2]Oct-Dec''25'!Q53+'[2]Apr-Sep''25'!Q53</f>
        <v>43</v>
      </c>
      <c r="Q53" s="13">
        <f>'[2]Oct-Dec''25'!R53+'[2]Apr-Sep''25'!R53</f>
        <v>42</v>
      </c>
      <c r="R53" s="8">
        <f t="shared" si="89"/>
        <v>0.97674418604651159</v>
      </c>
      <c r="S53" s="13">
        <f>'[2]Oct-Dec''25'!T53+'[2]Apr-Sep''25'!T53</f>
        <v>27</v>
      </c>
      <c r="T53" s="13">
        <f>'[2]Oct-Dec''25'!U53+'[2]Apr-Sep''25'!U53</f>
        <v>24</v>
      </c>
      <c r="U53" s="8">
        <f t="shared" si="90"/>
        <v>0.88888888888888884</v>
      </c>
      <c r="V53" s="13">
        <f>'[2]Oct-Dec''25'!W53+'[2]Apr-Sep''25'!W53</f>
        <v>14</v>
      </c>
      <c r="W53" s="13">
        <f>'[2]Oct-Dec''25'!Y53+'[2]Apr-Sep''25'!Y53</f>
        <v>11</v>
      </c>
      <c r="X53" s="8">
        <f t="shared" si="91"/>
        <v>0.7857142857142857</v>
      </c>
      <c r="Y53" s="13">
        <f>'[2]Oct-Dec''25'!AA53+'[2]Apr-Sep''25'!AA53</f>
        <v>48</v>
      </c>
      <c r="Z53" s="13">
        <f>'[2]Oct-Dec''25'!AB53+'[2]Apr-Sep''25'!AB53</f>
        <v>48</v>
      </c>
      <c r="AA53" s="8">
        <f t="shared" si="92"/>
        <v>1</v>
      </c>
      <c r="AB53" s="13">
        <f>'[2]Oct-Dec''25'!AD53+'[2]Apr-Sep''25'!AD53</f>
        <v>30</v>
      </c>
      <c r="AC53" s="13">
        <f>'[2]Oct-Dec''25'!AE53+'[2]Apr-Sep''25'!AE53</f>
        <v>26</v>
      </c>
      <c r="AD53" s="8">
        <f t="shared" si="93"/>
        <v>0.8666666666666667</v>
      </c>
      <c r="AE53" s="13">
        <f>'[2]Oct-Dec''25'!AJ53+'[2]Apr-Sep''25'!AJ53</f>
        <v>1</v>
      </c>
      <c r="AF53" s="13">
        <f>'[2]Oct-Dec''25'!AK53+'[2]Apr-Sep''25'!AK53</f>
        <v>0</v>
      </c>
      <c r="AG53" s="8">
        <f t="shared" si="94"/>
        <v>0</v>
      </c>
      <c r="AH53" s="13">
        <f>'[2]Oct-Dec''25'!AM53+'[2]Apr-Sep''25'!AM53</f>
        <v>0</v>
      </c>
      <c r="AI53" s="13">
        <f>'[2]Oct-Dec''25'!AN53+'[2]Apr-Sep''25'!AN53</f>
        <v>0</v>
      </c>
      <c r="AJ53" s="8" t="e">
        <f t="shared" si="95"/>
        <v>#DIV/0!</v>
      </c>
      <c r="AK53" s="13">
        <f>'[2]Oct-Dec''25'!AP53+'[2]Apr-Sep''25'!AP53</f>
        <v>51</v>
      </c>
      <c r="AL53" s="13">
        <f>'[2]Oct-Dec''25'!AQ53+'[2]Apr-Sep''25'!AQ53</f>
        <v>49</v>
      </c>
      <c r="AM53" s="8">
        <f t="shared" si="96"/>
        <v>0.96078431372549022</v>
      </c>
      <c r="AN53" s="13">
        <f>'[2]Oct-Dec''25'!AS53+'[2]Apr-Sep''25'!AS53</f>
        <v>5</v>
      </c>
      <c r="AO53" s="13">
        <f>'[2]Oct-Dec''25'!AT53+'[2]Apr-Sep''25'!AT53</f>
        <v>5</v>
      </c>
      <c r="AP53" s="8">
        <f t="shared" si="97"/>
        <v>1</v>
      </c>
      <c r="AQ53" s="13">
        <f>'[2]Oct-Dec''25'!AV53+'[2]Apr-Sep''25'!AV53</f>
        <v>0</v>
      </c>
      <c r="AR53" s="13">
        <f>'[2]Oct-Dec''25'!AW53+'[2]Apr-Sep''25'!AW53</f>
        <v>0</v>
      </c>
      <c r="AS53" s="8" t="e">
        <f t="shared" si="98"/>
        <v>#DIV/0!</v>
      </c>
      <c r="AT53" s="13">
        <f>'[2]Oct-Dec''25'!AY53+'[2]Apr-Sep''25'!AY53</f>
        <v>4</v>
      </c>
      <c r="AU53" s="13">
        <f>'[2]Oct-Dec''25'!AZ53+'[2]Apr-Sep''25'!AZ53</f>
        <v>4</v>
      </c>
      <c r="AV53" s="8">
        <f t="shared" si="99"/>
        <v>1</v>
      </c>
      <c r="AW53" s="9">
        <f t="shared" si="100"/>
        <v>9</v>
      </c>
      <c r="AX53" s="9">
        <f t="shared" si="101"/>
        <v>9</v>
      </c>
      <c r="AY53" s="8">
        <f t="shared" si="102"/>
        <v>1</v>
      </c>
      <c r="AZ53" s="13">
        <f>'[2]Oct-Dec''25'!BB53+'[2]Apr-Sep''25'!BB53</f>
        <v>52</v>
      </c>
      <c r="BA53" s="13">
        <f>'[2]Oct-Dec''25'!BC53+'[2]Apr-Sep''25'!BC53</f>
        <v>17</v>
      </c>
      <c r="BB53" s="14">
        <f t="shared" si="103"/>
        <v>0.32692307692307693</v>
      </c>
      <c r="BC53" s="13">
        <f>'[2]Oct-Dec''25'!BE53+'[2]Apr-Sep''25'!BE53</f>
        <v>4</v>
      </c>
      <c r="BD53" s="13">
        <f>'[2]Oct-Dec''25'!BF53+'[2]Apr-Sep''25'!BF53</f>
        <v>4</v>
      </c>
      <c r="BE53" s="14">
        <f t="shared" si="104"/>
        <v>1</v>
      </c>
      <c r="BF53" s="13">
        <f>'[2]Oct-Dec''25'!BH53+'[2]Apr-Sep''25'!BH53</f>
        <v>4</v>
      </c>
      <c r="BG53" s="13">
        <f>'[2]Oct-Dec''25'!BI53+'[2]Apr-Sep''25'!BI53</f>
        <v>4</v>
      </c>
      <c r="BH53" s="14">
        <f t="shared" si="105"/>
        <v>1</v>
      </c>
      <c r="BI53" s="13">
        <f>'[2]Oct-Dec''25'!BK53+'[2]Apr-Sep''25'!BK53</f>
        <v>5</v>
      </c>
      <c r="BJ53" s="13">
        <f>'[2]Oct-Dec''25'!BL53+'[2]Apr-Sep''25'!BL53</f>
        <v>5</v>
      </c>
      <c r="BK53" s="15">
        <f t="shared" si="106"/>
        <v>1</v>
      </c>
      <c r="BL53" s="13">
        <f>'[2]Oct-Dec''25'!BN53+'[2]Apr-Sep''25'!BN53</f>
        <v>2</v>
      </c>
      <c r="BM53" s="13">
        <f>'[2]Oct-Dec''25'!BO53+'[2]Apr-Sep''25'!BO53</f>
        <v>2</v>
      </c>
      <c r="BN53" s="15">
        <f t="shared" si="107"/>
        <v>1</v>
      </c>
      <c r="BO53" s="13">
        <f>'[2]Oct-Dec''25'!BQ53+'[2]Apr-Sep''25'!BQ53</f>
        <v>0</v>
      </c>
      <c r="BP53" s="13">
        <f>'[2]Oct-Dec''25'!BR53+'[2]Apr-Sep''25'!BR53</f>
        <v>0</v>
      </c>
      <c r="BQ53" s="15">
        <f t="shared" si="108"/>
        <v>0</v>
      </c>
      <c r="BR53" s="13">
        <f>'[2]Oct-Dec''25'!BT53+'[2]Apr-Sep''25'!BT53</f>
        <v>0</v>
      </c>
      <c r="BS53" s="13">
        <f>'[2]Oct-Dec''25'!BU53+'[2]Apr-Sep''25'!BU53</f>
        <v>0</v>
      </c>
      <c r="BT53" s="14">
        <f t="shared" si="109"/>
        <v>0</v>
      </c>
      <c r="BU53" s="13">
        <f>'[2]Oct-Dec''25'!BW53+'[2]Apr-Sep''25'!BW53</f>
        <v>0</v>
      </c>
      <c r="BV53" s="13">
        <f>'[2]Oct-Dec''25'!BX53+'[2]Apr-Sep''25'!BX53</f>
        <v>0</v>
      </c>
      <c r="BW53" s="14">
        <f t="shared" si="110"/>
        <v>0</v>
      </c>
      <c r="BX53" s="13">
        <f>'[2]Oct-Dec''25'!BZ53+'[2]Apr-Sep''25'!BZ53</f>
        <v>41</v>
      </c>
      <c r="BY53" s="13">
        <f>'[2]Oct-Dec''25'!CA53+'[2]Apr-Sep''25'!CA53</f>
        <v>33</v>
      </c>
      <c r="BZ53" s="14">
        <f t="shared" si="111"/>
        <v>0.80487804878048785</v>
      </c>
      <c r="CA53" s="13">
        <f>'[2]Oct-Dec''25'!CC53+'[2]Apr-Sep''25'!CC53</f>
        <v>32</v>
      </c>
      <c r="CB53" s="13">
        <f>'[2]Oct-Dec''25'!CD53+'[2]Apr-Sep''25'!CD53</f>
        <v>32</v>
      </c>
      <c r="CC53" s="14">
        <f t="shared" si="112"/>
        <v>1</v>
      </c>
      <c r="CD53" s="13">
        <f>'[2]Oct-Dec''25'!CF53+'[2]Apr-Sep''25'!CF53</f>
        <v>0</v>
      </c>
      <c r="CE53" s="13">
        <f>'[2]Oct-Dec''25'!CG53+'[2]Apr-Sep''25'!CG53</f>
        <v>0</v>
      </c>
      <c r="CF53" s="14">
        <f t="shared" si="113"/>
        <v>0</v>
      </c>
    </row>
    <row r="54" spans="1:84" ht="48" x14ac:dyDescent="0.25">
      <c r="A54" s="12">
        <f>'[2]Oct-Dec''25'!A54</f>
        <v>48</v>
      </c>
      <c r="B54" s="12" t="str">
        <f>'[2]Oct-Dec''25'!B54</f>
        <v>CHRI</v>
      </c>
      <c r="C54" s="1" t="str">
        <f>'[2]Oct-Dec''25'!C54</f>
        <v>Tripura</v>
      </c>
      <c r="D54" s="3" t="str">
        <f>'[2]Oct-Dec''25'!D54</f>
        <v>HEPATITIS FOUNDATION OF TRIPURA (ANANDALOK)</v>
      </c>
      <c r="E54" s="1" t="str">
        <f>'[2]Oct-Dec''25'!E54</f>
        <v>WEST</v>
      </c>
      <c r="F54" s="12" t="s">
        <v>85</v>
      </c>
      <c r="G54" s="13">
        <f>'[2]Oct-Dec''25'!H54+'[2]Apr-Sep''25'!H54</f>
        <v>1121</v>
      </c>
      <c r="H54" s="13">
        <f>'[2]Oct-Dec''25'!I54+'[2]Apr-Sep''25'!I54</f>
        <v>1021</v>
      </c>
      <c r="I54" s="7">
        <f t="shared" si="87"/>
        <v>0.91079393398751118</v>
      </c>
      <c r="J54" s="13">
        <f>'[2]Oct-Dec''25'!K54+'[2]Apr-Sep''25'!K54</f>
        <v>4</v>
      </c>
      <c r="K54" s="13">
        <f>'[2]Oct-Dec''25'!L54+'[2]Apr-Sep''25'!L54</f>
        <v>0</v>
      </c>
      <c r="L54" s="7">
        <f>K54/J54</f>
        <v>0</v>
      </c>
      <c r="M54" s="13">
        <f>'[2]Oct-Dec''25'!N54+'[2]Apr-Sep''25'!N54</f>
        <v>1112</v>
      </c>
      <c r="N54" s="13">
        <f>'[2]Oct-Dec''25'!O54+'[2]Apr-Sep''25'!O54</f>
        <v>1042</v>
      </c>
      <c r="O54" s="8">
        <f t="shared" si="88"/>
        <v>0.93705035971223016</v>
      </c>
      <c r="P54" s="13">
        <f>'[2]Oct-Dec''25'!Q54+'[2]Apr-Sep''25'!Q54</f>
        <v>841</v>
      </c>
      <c r="Q54" s="13">
        <f>'[2]Oct-Dec''25'!R54+'[2]Apr-Sep''25'!R54</f>
        <v>613</v>
      </c>
      <c r="R54" s="8">
        <f t="shared" si="89"/>
        <v>0.7288941736028538</v>
      </c>
      <c r="S54" s="13">
        <f>'[2]Oct-Dec''25'!T54+'[2]Apr-Sep''25'!T54</f>
        <v>6975</v>
      </c>
      <c r="T54" s="13">
        <f>'[2]Oct-Dec''25'!U54+'[2]Apr-Sep''25'!U54</f>
        <v>3873</v>
      </c>
      <c r="U54" s="8">
        <f t="shared" si="90"/>
        <v>0.5552688172043011</v>
      </c>
      <c r="V54" s="13">
        <f>'[2]Oct-Dec''25'!W54+'[2]Apr-Sep''25'!W54</f>
        <v>4938</v>
      </c>
      <c r="W54" s="13">
        <f>'[2]Oct-Dec''25'!Y54+'[2]Apr-Sep''25'!Y54</f>
        <v>2814</v>
      </c>
      <c r="X54" s="8">
        <f t="shared" si="91"/>
        <v>0.56986634264884573</v>
      </c>
      <c r="Y54" s="13">
        <f>'[2]Oct-Dec''25'!AA54+'[2]Apr-Sep''25'!AA54</f>
        <v>180</v>
      </c>
      <c r="Z54" s="13">
        <f>'[2]Oct-Dec''25'!AB54+'[2]Apr-Sep''25'!AB54</f>
        <v>154</v>
      </c>
      <c r="AA54" s="8">
        <f t="shared" si="92"/>
        <v>0.85555555555555551</v>
      </c>
      <c r="AB54" s="13">
        <f>'[2]Oct-Dec''25'!AD54+'[2]Apr-Sep''25'!AD54</f>
        <v>54</v>
      </c>
      <c r="AC54" s="13">
        <f>'[2]Oct-Dec''25'!AE54+'[2]Apr-Sep''25'!AE54</f>
        <v>0</v>
      </c>
      <c r="AD54" s="8">
        <f t="shared" si="93"/>
        <v>0</v>
      </c>
      <c r="AE54" s="13">
        <f>'[2]Oct-Dec''25'!AJ54+'[2]Apr-Sep''25'!AJ54</f>
        <v>3307</v>
      </c>
      <c r="AF54" s="13">
        <f>'[2]Oct-Dec''25'!AK54+'[2]Apr-Sep''25'!AK54</f>
        <v>1389</v>
      </c>
      <c r="AG54" s="8">
        <f t="shared" si="94"/>
        <v>0.42001814333232534</v>
      </c>
      <c r="AH54" s="13">
        <f>'[2]Oct-Dec''25'!AM54+'[2]Apr-Sep''25'!AM54</f>
        <v>2</v>
      </c>
      <c r="AI54" s="13">
        <f>'[2]Oct-Dec''25'!AN54+'[2]Apr-Sep''25'!AN54</f>
        <v>1</v>
      </c>
      <c r="AJ54" s="8">
        <f t="shared" si="95"/>
        <v>0.5</v>
      </c>
      <c r="AK54" s="13">
        <f>'[2]Oct-Dec''25'!AP54+'[2]Apr-Sep''25'!AP54</f>
        <v>1211</v>
      </c>
      <c r="AL54" s="13">
        <f>'[2]Oct-Dec''25'!AQ54+'[2]Apr-Sep''25'!AQ54</f>
        <v>106</v>
      </c>
      <c r="AM54" s="8">
        <f t="shared" si="96"/>
        <v>8.7530966143682901E-2</v>
      </c>
      <c r="AN54" s="13">
        <f>'[2]Oct-Dec''25'!AS54+'[2]Apr-Sep''25'!AS54</f>
        <v>69</v>
      </c>
      <c r="AO54" s="13">
        <f>'[2]Oct-Dec''25'!AT54+'[2]Apr-Sep''25'!AT54</f>
        <v>64</v>
      </c>
      <c r="AP54" s="8">
        <f t="shared" si="97"/>
        <v>0.92753623188405798</v>
      </c>
      <c r="AQ54" s="13">
        <f>'[2]Oct-Dec''25'!AV54+'[2]Apr-Sep''25'!AV54</f>
        <v>56</v>
      </c>
      <c r="AR54" s="13">
        <f>'[2]Oct-Dec''25'!AW54+'[2]Apr-Sep''25'!AW54</f>
        <v>56</v>
      </c>
      <c r="AS54" s="8">
        <f t="shared" si="98"/>
        <v>1</v>
      </c>
      <c r="AT54" s="13">
        <f>'[2]Oct-Dec''25'!AY54+'[2]Apr-Sep''25'!AY54</f>
        <v>20</v>
      </c>
      <c r="AU54" s="13">
        <f>'[2]Oct-Dec''25'!AZ54+'[2]Apr-Sep''25'!AZ54</f>
        <v>13</v>
      </c>
      <c r="AV54" s="8">
        <f t="shared" si="99"/>
        <v>0.65</v>
      </c>
      <c r="AW54" s="9">
        <f t="shared" si="100"/>
        <v>145</v>
      </c>
      <c r="AX54" s="9">
        <f t="shared" si="101"/>
        <v>133</v>
      </c>
      <c r="AY54" s="8">
        <f t="shared" si="102"/>
        <v>0.91724137931034477</v>
      </c>
      <c r="AZ54" s="13">
        <f>'[2]Oct-Dec''25'!BB54+'[2]Apr-Sep''25'!BB54</f>
        <v>33</v>
      </c>
      <c r="BA54" s="13">
        <f>'[2]Oct-Dec''25'!BC54+'[2]Apr-Sep''25'!BC54</f>
        <v>33</v>
      </c>
      <c r="BB54" s="14">
        <f t="shared" si="103"/>
        <v>1</v>
      </c>
      <c r="BC54" s="13">
        <f>'[2]Oct-Dec''25'!BE54+'[2]Apr-Sep''25'!BE54</f>
        <v>44</v>
      </c>
      <c r="BD54" s="13">
        <f>'[2]Oct-Dec''25'!BF54+'[2]Apr-Sep''25'!BF54</f>
        <v>44</v>
      </c>
      <c r="BE54" s="14">
        <f t="shared" si="104"/>
        <v>1</v>
      </c>
      <c r="BF54" s="13">
        <f>'[2]Oct-Dec''25'!BH54+'[2]Apr-Sep''25'!BH54</f>
        <v>42</v>
      </c>
      <c r="BG54" s="13">
        <f>'[2]Oct-Dec''25'!BI54+'[2]Apr-Sep''25'!BI54</f>
        <v>30</v>
      </c>
      <c r="BH54" s="14">
        <f t="shared" si="105"/>
        <v>0.7142857142857143</v>
      </c>
      <c r="BI54" s="13">
        <f>'[2]Oct-Dec''25'!BK54+'[2]Apr-Sep''25'!BK54</f>
        <v>46</v>
      </c>
      <c r="BJ54" s="13">
        <f>'[2]Oct-Dec''25'!BL54+'[2]Apr-Sep''25'!BL54</f>
        <v>41</v>
      </c>
      <c r="BK54" s="15">
        <f t="shared" si="106"/>
        <v>0.89130434782608692</v>
      </c>
      <c r="BL54" s="13">
        <f>'[2]Oct-Dec''25'!BN54+'[2]Apr-Sep''25'!BN54</f>
        <v>55</v>
      </c>
      <c r="BM54" s="13">
        <f>'[2]Oct-Dec''25'!BO54+'[2]Apr-Sep''25'!BO54</f>
        <v>48</v>
      </c>
      <c r="BN54" s="15">
        <f t="shared" si="107"/>
        <v>0.87272727272727268</v>
      </c>
      <c r="BO54" s="13">
        <f>'[2]Oct-Dec''25'!BQ54+'[2]Apr-Sep''25'!BQ54</f>
        <v>54</v>
      </c>
      <c r="BP54" s="13">
        <f>'[2]Oct-Dec''25'!BR54+'[2]Apr-Sep''25'!BR54</f>
        <v>37</v>
      </c>
      <c r="BQ54" s="15">
        <f t="shared" si="108"/>
        <v>0.68518518518518523</v>
      </c>
      <c r="BR54" s="13">
        <f>'[2]Oct-Dec''25'!BT54+'[2]Apr-Sep''25'!BT54</f>
        <v>34</v>
      </c>
      <c r="BS54" s="13">
        <f>'[2]Oct-Dec''25'!BU54+'[2]Apr-Sep''25'!BU54</f>
        <v>24</v>
      </c>
      <c r="BT54" s="14">
        <f t="shared" si="109"/>
        <v>0.70588235294117652</v>
      </c>
      <c r="BU54" s="13">
        <f>'[2]Oct-Dec''25'!BW54+'[2]Apr-Sep''25'!BW54</f>
        <v>0</v>
      </c>
      <c r="BV54" s="13">
        <f>'[2]Oct-Dec''25'!BX54+'[2]Apr-Sep''25'!BX54</f>
        <v>0</v>
      </c>
      <c r="BW54" s="14">
        <f t="shared" si="110"/>
        <v>0</v>
      </c>
      <c r="BX54" s="13">
        <f>'[2]Oct-Dec''25'!BZ54+'[2]Apr-Sep''25'!BZ54</f>
        <v>1021</v>
      </c>
      <c r="BY54" s="13">
        <f>'[2]Oct-Dec''25'!CA54+'[2]Apr-Sep''25'!CA54</f>
        <v>997</v>
      </c>
      <c r="BZ54" s="14">
        <f t="shared" si="111"/>
        <v>0.97649363369245834</v>
      </c>
      <c r="CA54" s="13">
        <f>'[2]Oct-Dec''25'!CC54+'[2]Apr-Sep''25'!CC54</f>
        <v>72</v>
      </c>
      <c r="CB54" s="13">
        <f>'[2]Oct-Dec''25'!CD54+'[2]Apr-Sep''25'!CD54</f>
        <v>66</v>
      </c>
      <c r="CC54" s="14">
        <f t="shared" si="112"/>
        <v>0.91666666666666663</v>
      </c>
      <c r="CD54" s="13">
        <f>'[2]Oct-Dec''25'!CF54+'[2]Apr-Sep''25'!CF54</f>
        <v>0</v>
      </c>
      <c r="CE54" s="13">
        <f>'[2]Oct-Dec''25'!CG54+'[2]Apr-Sep''25'!CG54</f>
        <v>0</v>
      </c>
      <c r="CF54" s="14">
        <f t="shared" si="113"/>
        <v>0</v>
      </c>
    </row>
    <row r="55" spans="1:84" ht="36" x14ac:dyDescent="0.25">
      <c r="A55" s="12">
        <f>'[2]Oct-Dec''25'!A55</f>
        <v>49</v>
      </c>
      <c r="B55" s="12" t="str">
        <f>'[2]Oct-Dec''25'!B55</f>
        <v>UPNP+</v>
      </c>
      <c r="C55" s="1" t="str">
        <f>'[2]Oct-Dec''25'!C55</f>
        <v>Uttar Pradesh</v>
      </c>
      <c r="D55" s="3" t="str">
        <f>'[2]Oct-Dec''25'!D55</f>
        <v>AGRA POSITIVE PEOPLE WELFARE SOCIETY</v>
      </c>
      <c r="E55" s="1" t="str">
        <f>'[2]Oct-Dec''25'!E55</f>
        <v>AGRA</v>
      </c>
      <c r="F55" s="12" t="s">
        <v>85</v>
      </c>
      <c r="G55" s="13">
        <f>'[2]Oct-Dec''25'!H55+'[2]Apr-Sep''25'!H55</f>
        <v>658</v>
      </c>
      <c r="H55" s="13">
        <f>'[2]Oct-Dec''25'!I55+'[2]Apr-Sep''25'!I55</f>
        <v>454</v>
      </c>
      <c r="I55" s="7">
        <f t="shared" si="87"/>
        <v>0.6899696048632219</v>
      </c>
      <c r="J55" s="13">
        <f>'[2]Oct-Dec''25'!K55+'[2]Apr-Sep''25'!K55</f>
        <v>6</v>
      </c>
      <c r="K55" s="13">
        <f>'[2]Oct-Dec''25'!L55+'[2]Apr-Sep''25'!L55</f>
        <v>4</v>
      </c>
      <c r="L55" s="7">
        <f>K55/J55</f>
        <v>0.66666666666666663</v>
      </c>
      <c r="M55" s="13">
        <f>'[2]Oct-Dec''25'!N55+'[2]Apr-Sep''25'!N55</f>
        <v>609</v>
      </c>
      <c r="N55" s="13">
        <f>'[2]Oct-Dec''25'!O55+'[2]Apr-Sep''25'!O55</f>
        <v>609</v>
      </c>
      <c r="O55" s="8">
        <f t="shared" si="88"/>
        <v>1</v>
      </c>
      <c r="P55" s="13">
        <f>'[2]Oct-Dec''25'!Q55+'[2]Apr-Sep''25'!Q55</f>
        <v>518</v>
      </c>
      <c r="Q55" s="13">
        <f>'[2]Oct-Dec''25'!R55+'[2]Apr-Sep''25'!R55</f>
        <v>439</v>
      </c>
      <c r="R55" s="8">
        <f t="shared" si="89"/>
        <v>0.84749034749034746</v>
      </c>
      <c r="S55" s="13">
        <f>'[2]Oct-Dec''25'!T55+'[2]Apr-Sep''25'!T55</f>
        <v>2978</v>
      </c>
      <c r="T55" s="13">
        <f>'[2]Oct-Dec''25'!U55+'[2]Apr-Sep''25'!U55</f>
        <v>2490</v>
      </c>
      <c r="U55" s="8">
        <f t="shared" si="90"/>
        <v>0.83613163196776363</v>
      </c>
      <c r="V55" s="13">
        <f>'[2]Oct-Dec''25'!W55+'[2]Apr-Sep''25'!W55</f>
        <v>803</v>
      </c>
      <c r="W55" s="13">
        <f>'[2]Oct-Dec''25'!Y55+'[2]Apr-Sep''25'!Y55</f>
        <v>611</v>
      </c>
      <c r="X55" s="8">
        <f t="shared" si="91"/>
        <v>0.76089663760896642</v>
      </c>
      <c r="Y55" s="13">
        <f>'[2]Oct-Dec''25'!AA55+'[2]Apr-Sep''25'!AA55</f>
        <v>313</v>
      </c>
      <c r="Z55" s="13">
        <f>'[2]Oct-Dec''25'!AB55+'[2]Apr-Sep''25'!AB55</f>
        <v>312</v>
      </c>
      <c r="AA55" s="8">
        <f t="shared" si="92"/>
        <v>0.99680511182108622</v>
      </c>
      <c r="AB55" s="13">
        <f>'[2]Oct-Dec''25'!AD55+'[2]Apr-Sep''25'!AD55</f>
        <v>433</v>
      </c>
      <c r="AC55" s="13">
        <f>'[2]Oct-Dec''25'!AE55+'[2]Apr-Sep''25'!AE55</f>
        <v>155</v>
      </c>
      <c r="AD55" s="8">
        <f t="shared" si="93"/>
        <v>0.35796766743648961</v>
      </c>
      <c r="AE55" s="13">
        <f>'[2]Oct-Dec''25'!AJ55+'[2]Apr-Sep''25'!AJ55</f>
        <v>1982</v>
      </c>
      <c r="AF55" s="13">
        <f>'[2]Oct-Dec''25'!AK55+'[2]Apr-Sep''25'!AK55</f>
        <v>1726</v>
      </c>
      <c r="AG55" s="8">
        <f t="shared" si="94"/>
        <v>0.87083753784056506</v>
      </c>
      <c r="AH55" s="13">
        <f>'[2]Oct-Dec''25'!AM55+'[2]Apr-Sep''25'!AM55</f>
        <v>69</v>
      </c>
      <c r="AI55" s="13">
        <f>'[2]Oct-Dec''25'!AN55+'[2]Apr-Sep''25'!AN55</f>
        <v>61</v>
      </c>
      <c r="AJ55" s="8">
        <f t="shared" si="95"/>
        <v>0.88405797101449279</v>
      </c>
      <c r="AK55" s="13">
        <f>'[2]Oct-Dec''25'!AP55+'[2]Apr-Sep''25'!AP55</f>
        <v>100</v>
      </c>
      <c r="AL55" s="13">
        <f>'[2]Oct-Dec''25'!AQ55+'[2]Apr-Sep''25'!AQ55</f>
        <v>74</v>
      </c>
      <c r="AM55" s="8">
        <f t="shared" si="96"/>
        <v>0.74</v>
      </c>
      <c r="AN55" s="13">
        <f>'[2]Oct-Dec''25'!AS55+'[2]Apr-Sep''25'!AS55</f>
        <v>155</v>
      </c>
      <c r="AO55" s="13">
        <f>'[2]Oct-Dec''25'!AT55+'[2]Apr-Sep''25'!AT55</f>
        <v>155</v>
      </c>
      <c r="AP55" s="8">
        <f t="shared" si="97"/>
        <v>1</v>
      </c>
      <c r="AQ55" s="13">
        <f>'[2]Oct-Dec''25'!AV55+'[2]Apr-Sep''25'!AV55</f>
        <v>0</v>
      </c>
      <c r="AR55" s="13">
        <f>'[2]Oct-Dec''25'!AW55+'[2]Apr-Sep''25'!AW55</f>
        <v>0</v>
      </c>
      <c r="AS55" s="8" t="e">
        <f t="shared" si="98"/>
        <v>#DIV/0!</v>
      </c>
      <c r="AT55" s="13">
        <f>'[2]Oct-Dec''25'!AY55+'[2]Apr-Sep''25'!AY55</f>
        <v>284</v>
      </c>
      <c r="AU55" s="13">
        <f>'[2]Oct-Dec''25'!AZ55+'[2]Apr-Sep''25'!AZ55</f>
        <v>283</v>
      </c>
      <c r="AV55" s="8">
        <f t="shared" si="99"/>
        <v>0.99647887323943662</v>
      </c>
      <c r="AW55" s="9">
        <f t="shared" si="100"/>
        <v>439</v>
      </c>
      <c r="AX55" s="9">
        <f t="shared" si="101"/>
        <v>438</v>
      </c>
      <c r="AY55" s="8">
        <f t="shared" si="102"/>
        <v>0.99772209567198178</v>
      </c>
      <c r="AZ55" s="13">
        <f>'[2]Oct-Dec''25'!BB55+'[2]Apr-Sep''25'!BB55</f>
        <v>87</v>
      </c>
      <c r="BA55" s="13">
        <f>'[2]Oct-Dec''25'!BC55+'[2]Apr-Sep''25'!BC55</f>
        <v>80</v>
      </c>
      <c r="BB55" s="14">
        <f t="shared" si="103"/>
        <v>0.91954022988505746</v>
      </c>
      <c r="BC55" s="13">
        <f>'[2]Oct-Dec''25'!BE55+'[2]Apr-Sep''25'!BE55</f>
        <v>25</v>
      </c>
      <c r="BD55" s="13">
        <f>'[2]Oct-Dec''25'!BF55+'[2]Apr-Sep''25'!BF55</f>
        <v>25</v>
      </c>
      <c r="BE55" s="14">
        <f t="shared" si="104"/>
        <v>1</v>
      </c>
      <c r="BF55" s="13">
        <f>'[2]Oct-Dec''25'!BH55+'[2]Apr-Sep''25'!BH55</f>
        <v>22</v>
      </c>
      <c r="BG55" s="13">
        <f>'[2]Oct-Dec''25'!BI55+'[2]Apr-Sep''25'!BI55</f>
        <v>21</v>
      </c>
      <c r="BH55" s="14">
        <f t="shared" si="105"/>
        <v>0.95454545454545459</v>
      </c>
      <c r="BI55" s="13">
        <f>'[2]Oct-Dec''25'!BK55+'[2]Apr-Sep''25'!BK55</f>
        <v>9</v>
      </c>
      <c r="BJ55" s="13">
        <f>'[2]Oct-Dec''25'!BL55+'[2]Apr-Sep''25'!BL55</f>
        <v>9</v>
      </c>
      <c r="BK55" s="15">
        <f t="shared" si="106"/>
        <v>1</v>
      </c>
      <c r="BL55" s="13">
        <f>'[2]Oct-Dec''25'!BN55+'[2]Apr-Sep''25'!BN55</f>
        <v>11</v>
      </c>
      <c r="BM55" s="13">
        <f>'[2]Oct-Dec''25'!BO55+'[2]Apr-Sep''25'!BO55</f>
        <v>10</v>
      </c>
      <c r="BN55" s="15">
        <f t="shared" si="107"/>
        <v>0.90909090909090906</v>
      </c>
      <c r="BO55" s="13">
        <f>'[2]Oct-Dec''25'!BQ55+'[2]Apr-Sep''25'!BQ55</f>
        <v>13</v>
      </c>
      <c r="BP55" s="13">
        <f>'[2]Oct-Dec''25'!BR55+'[2]Apr-Sep''25'!BR55</f>
        <v>13</v>
      </c>
      <c r="BQ55" s="15">
        <f t="shared" si="108"/>
        <v>1</v>
      </c>
      <c r="BR55" s="13">
        <f>'[2]Oct-Dec''25'!BT55+'[2]Apr-Sep''25'!BT55</f>
        <v>7</v>
      </c>
      <c r="BS55" s="13">
        <f>'[2]Oct-Dec''25'!BU55+'[2]Apr-Sep''25'!BU55</f>
        <v>7</v>
      </c>
      <c r="BT55" s="14">
        <f t="shared" si="109"/>
        <v>1</v>
      </c>
      <c r="BU55" s="13">
        <f>'[2]Oct-Dec''25'!BW55+'[2]Apr-Sep''25'!BW55</f>
        <v>0</v>
      </c>
      <c r="BV55" s="13">
        <f>'[2]Oct-Dec''25'!BX55+'[2]Apr-Sep''25'!BX55</f>
        <v>0</v>
      </c>
      <c r="BW55" s="14">
        <f t="shared" si="110"/>
        <v>0</v>
      </c>
      <c r="BX55" s="13">
        <f>'[2]Oct-Dec''25'!BZ55+'[2]Apr-Sep''25'!BZ55</f>
        <v>454</v>
      </c>
      <c r="BY55" s="13">
        <f>'[2]Oct-Dec''25'!CA55+'[2]Apr-Sep''25'!CA55</f>
        <v>447</v>
      </c>
      <c r="BZ55" s="14">
        <f t="shared" si="111"/>
        <v>0.98458149779735682</v>
      </c>
      <c r="CA55" s="13">
        <f>'[2]Oct-Dec''25'!CC55+'[2]Apr-Sep''25'!CC55</f>
        <v>431</v>
      </c>
      <c r="CB55" s="13">
        <f>'[2]Oct-Dec''25'!CD55+'[2]Apr-Sep''25'!CD55</f>
        <v>478</v>
      </c>
      <c r="CC55" s="14">
        <f t="shared" si="112"/>
        <v>1.1090487238979119</v>
      </c>
      <c r="CD55" s="13">
        <f>'[2]Oct-Dec''25'!CF55+'[2]Apr-Sep''25'!CF55</f>
        <v>0</v>
      </c>
      <c r="CE55" s="13">
        <f>'[2]Oct-Dec''25'!CG55+'[2]Apr-Sep''25'!CG55</f>
        <v>0</v>
      </c>
      <c r="CF55" s="14">
        <f t="shared" si="113"/>
        <v>0</v>
      </c>
    </row>
    <row r="56" spans="1:84" ht="36" x14ac:dyDescent="0.25">
      <c r="A56" s="12">
        <f>'[2]Oct-Dec''25'!A56</f>
        <v>50</v>
      </c>
      <c r="B56" s="12" t="str">
        <f>'[2]Oct-Dec''25'!B56</f>
        <v>UPNP+</v>
      </c>
      <c r="C56" s="1" t="str">
        <f>'[2]Oct-Dec''25'!C56</f>
        <v>Uttar Pradesh</v>
      </c>
      <c r="D56" s="3" t="str">
        <f>'[2]Oct-Dec''25'!D56</f>
        <v>HATHRAS POSITIVE PEOPLE WELFARE SOCIETY</v>
      </c>
      <c r="E56" s="1" t="str">
        <f>'[2]Oct-Dec''25'!E56</f>
        <v>ALIGARH</v>
      </c>
      <c r="F56" s="12" t="s">
        <v>85</v>
      </c>
      <c r="G56" s="13">
        <f>'[2]Oct-Dec''25'!H56+'[2]Apr-Sep''25'!H56</f>
        <v>932</v>
      </c>
      <c r="H56" s="13">
        <f>'[2]Oct-Dec''25'!I56+'[2]Apr-Sep''25'!I56</f>
        <v>1007</v>
      </c>
      <c r="I56" s="7">
        <f t="shared" si="87"/>
        <v>1.0804721030042919</v>
      </c>
      <c r="J56" s="13">
        <f>'[2]Oct-Dec''25'!K56+'[2]Apr-Sep''25'!K56</f>
        <v>0</v>
      </c>
      <c r="K56" s="13">
        <f>'[2]Oct-Dec''25'!L56+'[2]Apr-Sep''25'!L56</f>
        <v>0</v>
      </c>
      <c r="L56" s="7"/>
      <c r="M56" s="13">
        <f>'[2]Oct-Dec''25'!N56+'[2]Apr-Sep''25'!N56</f>
        <v>824</v>
      </c>
      <c r="N56" s="13">
        <f>'[2]Oct-Dec''25'!O56+'[2]Apr-Sep''25'!O56</f>
        <v>824</v>
      </c>
      <c r="O56" s="8">
        <f t="shared" si="88"/>
        <v>1</v>
      </c>
      <c r="P56" s="13">
        <f>'[2]Oct-Dec''25'!Q56+'[2]Apr-Sep''25'!Q56</f>
        <v>625</v>
      </c>
      <c r="Q56" s="13">
        <f>'[2]Oct-Dec''25'!R56+'[2]Apr-Sep''25'!R56</f>
        <v>537</v>
      </c>
      <c r="R56" s="8">
        <f t="shared" si="89"/>
        <v>0.85919999999999996</v>
      </c>
      <c r="S56" s="13">
        <f>'[2]Oct-Dec''25'!T56+'[2]Apr-Sep''25'!T56</f>
        <v>5591</v>
      </c>
      <c r="T56" s="13">
        <f>'[2]Oct-Dec''25'!U56+'[2]Apr-Sep''25'!U56</f>
        <v>4689</v>
      </c>
      <c r="U56" s="8">
        <f t="shared" si="90"/>
        <v>0.83866928993024503</v>
      </c>
      <c r="V56" s="13">
        <f>'[2]Oct-Dec''25'!W56+'[2]Apr-Sep''25'!W56</f>
        <v>1172</v>
      </c>
      <c r="W56" s="13">
        <f>'[2]Oct-Dec''25'!Y56+'[2]Apr-Sep''25'!Y56</f>
        <v>873</v>
      </c>
      <c r="X56" s="8">
        <f t="shared" si="91"/>
        <v>0.74488054607508536</v>
      </c>
      <c r="Y56" s="13">
        <f>'[2]Oct-Dec''25'!AA56+'[2]Apr-Sep''25'!AA56</f>
        <v>339</v>
      </c>
      <c r="Z56" s="13">
        <f>'[2]Oct-Dec''25'!AB56+'[2]Apr-Sep''25'!AB56</f>
        <v>339</v>
      </c>
      <c r="AA56" s="8">
        <f t="shared" si="92"/>
        <v>1</v>
      </c>
      <c r="AB56" s="13">
        <f>'[2]Oct-Dec''25'!AD56+'[2]Apr-Sep''25'!AD56</f>
        <v>320</v>
      </c>
      <c r="AC56" s="13">
        <f>'[2]Oct-Dec''25'!AE56+'[2]Apr-Sep''25'!AE56</f>
        <v>269</v>
      </c>
      <c r="AD56" s="8">
        <f t="shared" si="93"/>
        <v>0.84062499999999996</v>
      </c>
      <c r="AE56" s="13">
        <f>'[2]Oct-Dec''25'!AJ56+'[2]Apr-Sep''25'!AJ56</f>
        <v>1334</v>
      </c>
      <c r="AF56" s="13">
        <f>'[2]Oct-Dec''25'!AK56+'[2]Apr-Sep''25'!AK56</f>
        <v>1268</v>
      </c>
      <c r="AG56" s="8">
        <f t="shared" si="94"/>
        <v>0.95052473763118439</v>
      </c>
      <c r="AH56" s="13">
        <f>'[2]Oct-Dec''25'!AM56+'[2]Apr-Sep''25'!AM56</f>
        <v>13</v>
      </c>
      <c r="AI56" s="13">
        <f>'[2]Oct-Dec''25'!AN56+'[2]Apr-Sep''25'!AN56</f>
        <v>13</v>
      </c>
      <c r="AJ56" s="8">
        <f t="shared" si="95"/>
        <v>1</v>
      </c>
      <c r="AK56" s="13">
        <f>'[2]Oct-Dec''25'!AP56+'[2]Apr-Sep''25'!AP56</f>
        <v>75</v>
      </c>
      <c r="AL56" s="13">
        <f>'[2]Oct-Dec''25'!AQ56+'[2]Apr-Sep''25'!AQ56</f>
        <v>70</v>
      </c>
      <c r="AM56" s="8">
        <f t="shared" si="96"/>
        <v>0.93333333333333335</v>
      </c>
      <c r="AN56" s="13">
        <f>'[2]Oct-Dec''25'!AS56+'[2]Apr-Sep''25'!AS56</f>
        <v>329</v>
      </c>
      <c r="AO56" s="13">
        <f>'[2]Oct-Dec''25'!AT56+'[2]Apr-Sep''25'!AT56</f>
        <v>318</v>
      </c>
      <c r="AP56" s="8">
        <f t="shared" si="97"/>
        <v>0.96656534954407292</v>
      </c>
      <c r="AQ56" s="13">
        <f>'[2]Oct-Dec''25'!AV56+'[2]Apr-Sep''25'!AV56</f>
        <v>10</v>
      </c>
      <c r="AR56" s="13">
        <f>'[2]Oct-Dec''25'!AW56+'[2]Apr-Sep''25'!AW56</f>
        <v>10</v>
      </c>
      <c r="AS56" s="8">
        <f t="shared" si="98"/>
        <v>1</v>
      </c>
      <c r="AT56" s="13">
        <f>'[2]Oct-Dec''25'!AY56+'[2]Apr-Sep''25'!AY56</f>
        <v>142</v>
      </c>
      <c r="AU56" s="13">
        <f>'[2]Oct-Dec''25'!AZ56+'[2]Apr-Sep''25'!AZ56</f>
        <v>142</v>
      </c>
      <c r="AV56" s="8">
        <f t="shared" si="99"/>
        <v>1</v>
      </c>
      <c r="AW56" s="9">
        <f t="shared" si="100"/>
        <v>481</v>
      </c>
      <c r="AX56" s="9">
        <f t="shared" si="101"/>
        <v>470</v>
      </c>
      <c r="AY56" s="8">
        <f t="shared" si="102"/>
        <v>0.97713097713097719</v>
      </c>
      <c r="AZ56" s="13">
        <f>'[2]Oct-Dec''25'!BB56+'[2]Apr-Sep''25'!BB56</f>
        <v>22</v>
      </c>
      <c r="BA56" s="13">
        <f>'[2]Oct-Dec''25'!BC56+'[2]Apr-Sep''25'!BC56</f>
        <v>21</v>
      </c>
      <c r="BB56" s="14">
        <f t="shared" si="103"/>
        <v>0.95454545454545459</v>
      </c>
      <c r="BC56" s="13">
        <f>'[2]Oct-Dec''25'!BE56+'[2]Apr-Sep''25'!BE56</f>
        <v>45</v>
      </c>
      <c r="BD56" s="13">
        <f>'[2]Oct-Dec''25'!BF56+'[2]Apr-Sep''25'!BF56</f>
        <v>45</v>
      </c>
      <c r="BE56" s="14">
        <f t="shared" si="104"/>
        <v>1</v>
      </c>
      <c r="BF56" s="13">
        <f>'[2]Oct-Dec''25'!BH56+'[2]Apr-Sep''25'!BH56</f>
        <v>48</v>
      </c>
      <c r="BG56" s="13">
        <f>'[2]Oct-Dec''25'!BI56+'[2]Apr-Sep''25'!BI56</f>
        <v>47</v>
      </c>
      <c r="BH56" s="14">
        <f t="shared" si="105"/>
        <v>0.97916666666666663</v>
      </c>
      <c r="BI56" s="13">
        <f>'[2]Oct-Dec''25'!BK56+'[2]Apr-Sep''25'!BK56</f>
        <v>4</v>
      </c>
      <c r="BJ56" s="13">
        <f>'[2]Oct-Dec''25'!BL56+'[2]Apr-Sep''25'!BL56</f>
        <v>4</v>
      </c>
      <c r="BK56" s="15">
        <f t="shared" si="106"/>
        <v>1</v>
      </c>
      <c r="BL56" s="13">
        <f>'[2]Oct-Dec''25'!BN56+'[2]Apr-Sep''25'!BN56</f>
        <v>4</v>
      </c>
      <c r="BM56" s="13">
        <f>'[2]Oct-Dec''25'!BO56+'[2]Apr-Sep''25'!BO56</f>
        <v>4</v>
      </c>
      <c r="BN56" s="15">
        <f t="shared" si="107"/>
        <v>1</v>
      </c>
      <c r="BO56" s="13">
        <f>'[2]Oct-Dec''25'!BQ56+'[2]Apr-Sep''25'!BQ56</f>
        <v>19</v>
      </c>
      <c r="BP56" s="13">
        <f>'[2]Oct-Dec''25'!BR56+'[2]Apr-Sep''25'!BR56</f>
        <v>15</v>
      </c>
      <c r="BQ56" s="15">
        <f t="shared" si="108"/>
        <v>0.78947368421052633</v>
      </c>
      <c r="BR56" s="13">
        <f>'[2]Oct-Dec''25'!BT56+'[2]Apr-Sep''25'!BT56</f>
        <v>18</v>
      </c>
      <c r="BS56" s="13">
        <f>'[2]Oct-Dec''25'!BU56+'[2]Apr-Sep''25'!BU56</f>
        <v>18</v>
      </c>
      <c r="BT56" s="14">
        <f t="shared" si="109"/>
        <v>1</v>
      </c>
      <c r="BU56" s="13">
        <f>'[2]Oct-Dec''25'!BW56+'[2]Apr-Sep''25'!BW56</f>
        <v>0</v>
      </c>
      <c r="BV56" s="13">
        <f>'[2]Oct-Dec''25'!BX56+'[2]Apr-Sep''25'!BX56</f>
        <v>0</v>
      </c>
      <c r="BW56" s="14">
        <f t="shared" si="110"/>
        <v>0</v>
      </c>
      <c r="BX56" s="13">
        <f>'[2]Oct-Dec''25'!BZ56+'[2]Apr-Sep''25'!BZ56</f>
        <v>1007</v>
      </c>
      <c r="BY56" s="13">
        <f>'[2]Oct-Dec''25'!CA56+'[2]Apr-Sep''25'!CA56</f>
        <v>1008</v>
      </c>
      <c r="BZ56" s="14">
        <f t="shared" si="111"/>
        <v>1.0009930486593843</v>
      </c>
      <c r="CA56" s="13">
        <f>'[2]Oct-Dec''25'!CC56+'[2]Apr-Sep''25'!CC56</f>
        <v>594</v>
      </c>
      <c r="CB56" s="13">
        <f>'[2]Oct-Dec''25'!CD56+'[2]Apr-Sep''25'!CD56</f>
        <v>566</v>
      </c>
      <c r="CC56" s="14">
        <f t="shared" si="112"/>
        <v>0.95286195286195285</v>
      </c>
      <c r="CD56" s="13">
        <f>'[2]Oct-Dec''25'!CF56+'[2]Apr-Sep''25'!CF56</f>
        <v>0</v>
      </c>
      <c r="CE56" s="13">
        <f>'[2]Oct-Dec''25'!CG56+'[2]Apr-Sep''25'!CG56</f>
        <v>0</v>
      </c>
      <c r="CF56" s="14">
        <f t="shared" si="113"/>
        <v>0</v>
      </c>
    </row>
    <row r="57" spans="1:84" ht="48" x14ac:dyDescent="0.25">
      <c r="A57" s="12">
        <f>'[2]Oct-Dec''25'!A57</f>
        <v>51</v>
      </c>
      <c r="B57" s="12" t="str">
        <f>'[2]Oct-Dec''25'!B57</f>
        <v>UPNP+</v>
      </c>
      <c r="C57" s="1" t="str">
        <f>'[2]Oct-Dec''25'!C57</f>
        <v>Uttar Pradesh</v>
      </c>
      <c r="D57" s="3" t="str">
        <f>'[2]Oct-Dec''25'!D57</f>
        <v>ALLAHABAD NETWORK FOR PEOPLE LIVING WITH HIV/AIDS SOCIETY</v>
      </c>
      <c r="E57" s="1" t="str">
        <f>'[2]Oct-Dec''25'!E57</f>
        <v>PRAYAGRAJ</v>
      </c>
      <c r="F57" s="12" t="s">
        <v>85</v>
      </c>
      <c r="G57" s="13">
        <f>'[2]Oct-Dec''25'!H57+'[2]Apr-Sep''25'!H57</f>
        <v>855</v>
      </c>
      <c r="H57" s="13">
        <f>'[2]Oct-Dec''25'!I57+'[2]Apr-Sep''25'!I57</f>
        <v>792</v>
      </c>
      <c r="I57" s="7">
        <f t="shared" si="87"/>
        <v>0.9263157894736842</v>
      </c>
      <c r="J57" s="13">
        <f>'[2]Oct-Dec''25'!K57+'[2]Apr-Sep''25'!K57</f>
        <v>18</v>
      </c>
      <c r="K57" s="13">
        <f>'[2]Oct-Dec''25'!L57+'[2]Apr-Sep''25'!L57</f>
        <v>10</v>
      </c>
      <c r="L57" s="7">
        <f>K57/J57</f>
        <v>0.55555555555555558</v>
      </c>
      <c r="M57" s="13">
        <f>'[2]Oct-Dec''25'!N57+'[2]Apr-Sep''25'!N57</f>
        <v>730</v>
      </c>
      <c r="N57" s="13">
        <f>'[2]Oct-Dec''25'!O57+'[2]Apr-Sep''25'!O57</f>
        <v>730</v>
      </c>
      <c r="O57" s="8">
        <f t="shared" si="88"/>
        <v>1</v>
      </c>
      <c r="P57" s="13">
        <f>'[2]Oct-Dec''25'!Q57+'[2]Apr-Sep''25'!Q57</f>
        <v>605</v>
      </c>
      <c r="Q57" s="13">
        <f>'[2]Oct-Dec''25'!R57+'[2]Apr-Sep''25'!R57</f>
        <v>530</v>
      </c>
      <c r="R57" s="8">
        <f t="shared" si="89"/>
        <v>0.87603305785123964</v>
      </c>
      <c r="S57" s="13">
        <f>'[2]Oct-Dec''25'!T57+'[2]Apr-Sep''25'!T57</f>
        <v>3756</v>
      </c>
      <c r="T57" s="13">
        <f>'[2]Oct-Dec''25'!U57+'[2]Apr-Sep''25'!U57</f>
        <v>3282</v>
      </c>
      <c r="U57" s="8">
        <f t="shared" si="90"/>
        <v>0.87380191693290732</v>
      </c>
      <c r="V57" s="13">
        <f>'[2]Oct-Dec''25'!W57+'[2]Apr-Sep''25'!W57</f>
        <v>1210</v>
      </c>
      <c r="W57" s="13">
        <f>'[2]Oct-Dec''25'!Y57+'[2]Apr-Sep''25'!Y57</f>
        <v>1055</v>
      </c>
      <c r="X57" s="8">
        <f t="shared" si="91"/>
        <v>0.87190082644628097</v>
      </c>
      <c r="Y57" s="13">
        <f>'[2]Oct-Dec''25'!AA57+'[2]Apr-Sep''25'!AA57</f>
        <v>286</v>
      </c>
      <c r="Z57" s="13">
        <f>'[2]Oct-Dec''25'!AB57+'[2]Apr-Sep''25'!AB57</f>
        <v>286</v>
      </c>
      <c r="AA57" s="8">
        <f t="shared" si="92"/>
        <v>1</v>
      </c>
      <c r="AB57" s="13">
        <f>'[2]Oct-Dec''25'!AD57+'[2]Apr-Sep''25'!AD57</f>
        <v>201</v>
      </c>
      <c r="AC57" s="13">
        <f>'[2]Oct-Dec''25'!AE57+'[2]Apr-Sep''25'!AE57</f>
        <v>174</v>
      </c>
      <c r="AD57" s="8">
        <f t="shared" si="93"/>
        <v>0.86567164179104472</v>
      </c>
      <c r="AE57" s="13">
        <f>'[2]Oct-Dec''25'!AJ57+'[2]Apr-Sep''25'!AJ57</f>
        <v>631</v>
      </c>
      <c r="AF57" s="13">
        <f>'[2]Oct-Dec''25'!AK57+'[2]Apr-Sep''25'!AK57</f>
        <v>615</v>
      </c>
      <c r="AG57" s="8">
        <f t="shared" si="94"/>
        <v>0.97464342313787644</v>
      </c>
      <c r="AH57" s="13">
        <f>'[2]Oct-Dec''25'!AM57+'[2]Apr-Sep''25'!AM57</f>
        <v>3</v>
      </c>
      <c r="AI57" s="13">
        <f>'[2]Oct-Dec''25'!AN57+'[2]Apr-Sep''25'!AN57</f>
        <v>3</v>
      </c>
      <c r="AJ57" s="8">
        <f t="shared" si="95"/>
        <v>1</v>
      </c>
      <c r="AK57" s="13">
        <f>'[2]Oct-Dec''25'!AP57+'[2]Apr-Sep''25'!AP57</f>
        <v>167</v>
      </c>
      <c r="AL57" s="13">
        <f>'[2]Oct-Dec''25'!AQ57+'[2]Apr-Sep''25'!AQ57</f>
        <v>150</v>
      </c>
      <c r="AM57" s="8">
        <f t="shared" si="96"/>
        <v>0.89820359281437123</v>
      </c>
      <c r="AN57" s="13">
        <f>'[2]Oct-Dec''25'!AS57+'[2]Apr-Sep''25'!AS57</f>
        <v>423</v>
      </c>
      <c r="AO57" s="13">
        <f>'[2]Oct-Dec''25'!AT57+'[2]Apr-Sep''25'!AT57</f>
        <v>391</v>
      </c>
      <c r="AP57" s="8">
        <f t="shared" si="97"/>
        <v>0.92434988179669031</v>
      </c>
      <c r="AQ57" s="13">
        <f>'[2]Oct-Dec''25'!AV57+'[2]Apr-Sep''25'!AV57</f>
        <v>0</v>
      </c>
      <c r="AR57" s="13">
        <f>'[2]Oct-Dec''25'!AW57+'[2]Apr-Sep''25'!AW57</f>
        <v>0</v>
      </c>
      <c r="AS57" s="8" t="e">
        <f t="shared" si="98"/>
        <v>#DIV/0!</v>
      </c>
      <c r="AT57" s="13">
        <f>'[2]Oct-Dec''25'!AY57+'[2]Apr-Sep''25'!AY57</f>
        <v>370</v>
      </c>
      <c r="AU57" s="13">
        <f>'[2]Oct-Dec''25'!AZ57+'[2]Apr-Sep''25'!AZ57</f>
        <v>322</v>
      </c>
      <c r="AV57" s="8">
        <f t="shared" si="99"/>
        <v>0.87027027027027026</v>
      </c>
      <c r="AW57" s="9">
        <f t="shared" si="100"/>
        <v>793</v>
      </c>
      <c r="AX57" s="9">
        <f t="shared" si="101"/>
        <v>713</v>
      </c>
      <c r="AY57" s="8">
        <f t="shared" si="102"/>
        <v>0.89911727616645654</v>
      </c>
      <c r="AZ57" s="13">
        <f>'[2]Oct-Dec''25'!BB57+'[2]Apr-Sep''25'!BB57</f>
        <v>37</v>
      </c>
      <c r="BA57" s="13">
        <f>'[2]Oct-Dec''25'!BC57+'[2]Apr-Sep''25'!BC57</f>
        <v>382</v>
      </c>
      <c r="BB57" s="14">
        <f t="shared" si="103"/>
        <v>10.324324324324325</v>
      </c>
      <c r="BC57" s="13">
        <f>'[2]Oct-Dec''25'!BE57+'[2]Apr-Sep''25'!BE57</f>
        <v>26</v>
      </c>
      <c r="BD57" s="13">
        <f>'[2]Oct-Dec''25'!BF57+'[2]Apr-Sep''25'!BF57</f>
        <v>26</v>
      </c>
      <c r="BE57" s="14">
        <f t="shared" si="104"/>
        <v>1</v>
      </c>
      <c r="BF57" s="13">
        <f>'[2]Oct-Dec''25'!BH57+'[2]Apr-Sep''25'!BH57</f>
        <v>45</v>
      </c>
      <c r="BG57" s="13">
        <f>'[2]Oct-Dec''25'!BI57+'[2]Apr-Sep''25'!BI57</f>
        <v>44</v>
      </c>
      <c r="BH57" s="14">
        <f t="shared" si="105"/>
        <v>0.97777777777777775</v>
      </c>
      <c r="BI57" s="13">
        <f>'[2]Oct-Dec''25'!BK57+'[2]Apr-Sep''25'!BK57</f>
        <v>24</v>
      </c>
      <c r="BJ57" s="13">
        <f>'[2]Oct-Dec''25'!BL57+'[2]Apr-Sep''25'!BL57</f>
        <v>23</v>
      </c>
      <c r="BK57" s="15">
        <f t="shared" si="106"/>
        <v>0.95833333333333337</v>
      </c>
      <c r="BL57" s="13">
        <f>'[2]Oct-Dec''25'!BN57+'[2]Apr-Sep''25'!BN57</f>
        <v>33</v>
      </c>
      <c r="BM57" s="13">
        <f>'[2]Oct-Dec''25'!BO57+'[2]Apr-Sep''25'!BO57</f>
        <v>32</v>
      </c>
      <c r="BN57" s="15">
        <f t="shared" si="107"/>
        <v>0.96969696969696972</v>
      </c>
      <c r="BO57" s="13">
        <f>'[2]Oct-Dec''25'!BQ57+'[2]Apr-Sep''25'!BQ57</f>
        <v>44</v>
      </c>
      <c r="BP57" s="13">
        <f>'[2]Oct-Dec''25'!BR57+'[2]Apr-Sep''25'!BR57</f>
        <v>36</v>
      </c>
      <c r="BQ57" s="15">
        <f t="shared" si="108"/>
        <v>0.81818181818181823</v>
      </c>
      <c r="BR57" s="13">
        <f>'[2]Oct-Dec''25'!BT57+'[2]Apr-Sep''25'!BT57</f>
        <v>19</v>
      </c>
      <c r="BS57" s="13">
        <f>'[2]Oct-Dec''25'!BU57+'[2]Apr-Sep''25'!BU57</f>
        <v>16</v>
      </c>
      <c r="BT57" s="14">
        <f t="shared" si="109"/>
        <v>0.84210526315789469</v>
      </c>
      <c r="BU57" s="13">
        <f>'[2]Oct-Dec''25'!BW57+'[2]Apr-Sep''25'!BW57</f>
        <v>0</v>
      </c>
      <c r="BV57" s="13">
        <f>'[2]Oct-Dec''25'!BX57+'[2]Apr-Sep''25'!BX57</f>
        <v>0</v>
      </c>
      <c r="BW57" s="14">
        <f t="shared" si="110"/>
        <v>0</v>
      </c>
      <c r="BX57" s="13">
        <f>'[2]Oct-Dec''25'!BZ57+'[2]Apr-Sep''25'!BZ57</f>
        <v>792</v>
      </c>
      <c r="BY57" s="13">
        <f>'[2]Oct-Dec''25'!CA57+'[2]Apr-Sep''25'!CA57</f>
        <v>792</v>
      </c>
      <c r="BZ57" s="14">
        <f t="shared" si="111"/>
        <v>1</v>
      </c>
      <c r="CA57" s="13">
        <f>'[2]Oct-Dec''25'!CC57+'[2]Apr-Sep''25'!CC57</f>
        <v>345</v>
      </c>
      <c r="CB57" s="13">
        <f>'[2]Oct-Dec''25'!CD57+'[2]Apr-Sep''25'!CD57</f>
        <v>345</v>
      </c>
      <c r="CC57" s="14">
        <f t="shared" si="112"/>
        <v>1</v>
      </c>
      <c r="CD57" s="13">
        <f>'[2]Oct-Dec''25'!CF57+'[2]Apr-Sep''25'!CF57</f>
        <v>78</v>
      </c>
      <c r="CE57" s="13">
        <f>'[2]Oct-Dec''25'!CG57+'[2]Apr-Sep''25'!CG57</f>
        <v>78</v>
      </c>
      <c r="CF57" s="14">
        <f t="shared" si="113"/>
        <v>1</v>
      </c>
    </row>
    <row r="58" spans="1:84" ht="48" x14ac:dyDescent="0.25">
      <c r="A58" s="12">
        <f>'[2]Oct-Dec''25'!A58</f>
        <v>52</v>
      </c>
      <c r="B58" s="12" t="str">
        <f>'[2]Oct-Dec''25'!B58</f>
        <v>UPNP+</v>
      </c>
      <c r="C58" s="1" t="str">
        <f>'[2]Oct-Dec''25'!C58</f>
        <v>Uttar Pradesh</v>
      </c>
      <c r="D58" s="3" t="str">
        <f>'[2]Oct-Dec''25'!D58</f>
        <v>AZAMGARH POSITIVE NETWORK OF PEOPLE LIVING WITH HIV/AIDS SOCIETY</v>
      </c>
      <c r="E58" s="1" t="str">
        <f>'[2]Oct-Dec''25'!E58</f>
        <v>AZAMGARH</v>
      </c>
      <c r="F58" s="12" t="s">
        <v>85</v>
      </c>
      <c r="G58" s="13">
        <f>'[2]Oct-Dec''25'!H58+'[2]Apr-Sep''25'!H58</f>
        <v>333</v>
      </c>
      <c r="H58" s="13">
        <f>'[2]Oct-Dec''25'!I58+'[2]Apr-Sep''25'!I58</f>
        <v>319</v>
      </c>
      <c r="I58" s="7">
        <f t="shared" si="87"/>
        <v>0.95795795795795791</v>
      </c>
      <c r="J58" s="13">
        <f>'[2]Oct-Dec''25'!K58+'[2]Apr-Sep''25'!K58</f>
        <v>0</v>
      </c>
      <c r="K58" s="13">
        <f>'[2]Oct-Dec''25'!L58+'[2]Apr-Sep''25'!L58</f>
        <v>0</v>
      </c>
      <c r="L58" s="7"/>
      <c r="M58" s="13">
        <f>'[2]Oct-Dec''25'!N58+'[2]Apr-Sep''25'!N58</f>
        <v>273</v>
      </c>
      <c r="N58" s="13">
        <f>'[2]Oct-Dec''25'!O58+'[2]Apr-Sep''25'!O58</f>
        <v>273</v>
      </c>
      <c r="O58" s="8">
        <f t="shared" si="88"/>
        <v>1</v>
      </c>
      <c r="P58" s="13">
        <f>'[2]Oct-Dec''25'!Q58+'[2]Apr-Sep''25'!Q58</f>
        <v>288</v>
      </c>
      <c r="Q58" s="13">
        <f>'[2]Oct-Dec''25'!R58+'[2]Apr-Sep''25'!R58</f>
        <v>257</v>
      </c>
      <c r="R58" s="8">
        <f t="shared" si="89"/>
        <v>0.89236111111111116</v>
      </c>
      <c r="S58" s="13">
        <f>'[2]Oct-Dec''25'!T58+'[2]Apr-Sep''25'!T58</f>
        <v>974</v>
      </c>
      <c r="T58" s="13">
        <f>'[2]Oct-Dec''25'!U58+'[2]Apr-Sep''25'!U58</f>
        <v>887</v>
      </c>
      <c r="U58" s="8">
        <f t="shared" si="90"/>
        <v>0.91067761806981518</v>
      </c>
      <c r="V58" s="13">
        <f>'[2]Oct-Dec''25'!W58+'[2]Apr-Sep''25'!W58</f>
        <v>274</v>
      </c>
      <c r="W58" s="13">
        <f>'[2]Oct-Dec''25'!Y58+'[2]Apr-Sep''25'!Y58</f>
        <v>233</v>
      </c>
      <c r="X58" s="8">
        <f t="shared" si="91"/>
        <v>0.85036496350364965</v>
      </c>
      <c r="Y58" s="13">
        <f>'[2]Oct-Dec''25'!AA58+'[2]Apr-Sep''25'!AA58</f>
        <v>138</v>
      </c>
      <c r="Z58" s="13">
        <f>'[2]Oct-Dec''25'!AB58+'[2]Apr-Sep''25'!AB58</f>
        <v>138</v>
      </c>
      <c r="AA58" s="8">
        <f t="shared" si="92"/>
        <v>1</v>
      </c>
      <c r="AB58" s="13">
        <f>'[2]Oct-Dec''25'!AD58+'[2]Apr-Sep''25'!AD58</f>
        <v>130</v>
      </c>
      <c r="AC58" s="13">
        <f>'[2]Oct-Dec''25'!AE58+'[2]Apr-Sep''25'!AE58</f>
        <v>39</v>
      </c>
      <c r="AD58" s="8">
        <f t="shared" si="93"/>
        <v>0.3</v>
      </c>
      <c r="AE58" s="13">
        <f>'[2]Oct-Dec''25'!AJ58+'[2]Apr-Sep''25'!AJ58</f>
        <v>293</v>
      </c>
      <c r="AF58" s="13">
        <f>'[2]Oct-Dec''25'!AK58+'[2]Apr-Sep''25'!AK58</f>
        <v>246</v>
      </c>
      <c r="AG58" s="8">
        <f t="shared" si="94"/>
        <v>0.83959044368600677</v>
      </c>
      <c r="AH58" s="13">
        <f>'[2]Oct-Dec''25'!AM58+'[2]Apr-Sep''25'!AM58</f>
        <v>0</v>
      </c>
      <c r="AI58" s="13">
        <f>'[2]Oct-Dec''25'!AN58+'[2]Apr-Sep''25'!AN58</f>
        <v>0</v>
      </c>
      <c r="AJ58" s="8" t="e">
        <f t="shared" si="95"/>
        <v>#DIV/0!</v>
      </c>
      <c r="AK58" s="13">
        <f>'[2]Oct-Dec''25'!AP58+'[2]Apr-Sep''25'!AP58</f>
        <v>19</v>
      </c>
      <c r="AL58" s="13">
        <f>'[2]Oct-Dec''25'!AQ58+'[2]Apr-Sep''25'!AQ58</f>
        <v>18</v>
      </c>
      <c r="AM58" s="8">
        <f t="shared" si="96"/>
        <v>0.94736842105263153</v>
      </c>
      <c r="AN58" s="13">
        <f>'[2]Oct-Dec''25'!AS58+'[2]Apr-Sep''25'!AS58</f>
        <v>20</v>
      </c>
      <c r="AO58" s="13">
        <f>'[2]Oct-Dec''25'!AT58+'[2]Apr-Sep''25'!AT58</f>
        <v>12</v>
      </c>
      <c r="AP58" s="8">
        <f t="shared" si="97"/>
        <v>0.6</v>
      </c>
      <c r="AQ58" s="13">
        <f>'[2]Oct-Dec''25'!AV58+'[2]Apr-Sep''25'!AV58</f>
        <v>0</v>
      </c>
      <c r="AR58" s="13">
        <f>'[2]Oct-Dec''25'!AW58+'[2]Apr-Sep''25'!AW58</f>
        <v>0</v>
      </c>
      <c r="AS58" s="8" t="e">
        <f t="shared" si="98"/>
        <v>#DIV/0!</v>
      </c>
      <c r="AT58" s="13">
        <f>'[2]Oct-Dec''25'!AY58+'[2]Apr-Sep''25'!AY58</f>
        <v>19</v>
      </c>
      <c r="AU58" s="13">
        <f>'[2]Oct-Dec''25'!AZ58+'[2]Apr-Sep''25'!AZ58</f>
        <v>19</v>
      </c>
      <c r="AV58" s="8">
        <f t="shared" si="99"/>
        <v>1</v>
      </c>
      <c r="AW58" s="9">
        <f t="shared" si="100"/>
        <v>39</v>
      </c>
      <c r="AX58" s="9">
        <f t="shared" si="101"/>
        <v>31</v>
      </c>
      <c r="AY58" s="8">
        <f t="shared" si="102"/>
        <v>0.79487179487179482</v>
      </c>
      <c r="AZ58" s="13">
        <f>'[2]Oct-Dec''25'!BB58+'[2]Apr-Sep''25'!BB58</f>
        <v>23</v>
      </c>
      <c r="BA58" s="13">
        <f>'[2]Oct-Dec''25'!BC58+'[2]Apr-Sep''25'!BC58</f>
        <v>29</v>
      </c>
      <c r="BB58" s="14">
        <f t="shared" si="103"/>
        <v>1.2608695652173914</v>
      </c>
      <c r="BC58" s="13">
        <f>'[2]Oct-Dec''25'!BE58+'[2]Apr-Sep''25'!BE58</f>
        <v>9</v>
      </c>
      <c r="BD58" s="13">
        <f>'[2]Oct-Dec''25'!BF58+'[2]Apr-Sep''25'!BF58</f>
        <v>9</v>
      </c>
      <c r="BE58" s="14">
        <f t="shared" si="104"/>
        <v>1</v>
      </c>
      <c r="BF58" s="13">
        <f>'[2]Oct-Dec''25'!BH58+'[2]Apr-Sep''25'!BH58</f>
        <v>12</v>
      </c>
      <c r="BG58" s="13">
        <f>'[2]Oct-Dec''25'!BI58+'[2]Apr-Sep''25'!BI58</f>
        <v>12</v>
      </c>
      <c r="BH58" s="14">
        <f t="shared" si="105"/>
        <v>1</v>
      </c>
      <c r="BI58" s="13">
        <f>'[2]Oct-Dec''25'!BK58+'[2]Apr-Sep''25'!BK58</f>
        <v>4</v>
      </c>
      <c r="BJ58" s="13">
        <f>'[2]Oct-Dec''25'!BL58+'[2]Apr-Sep''25'!BL58</f>
        <v>3</v>
      </c>
      <c r="BK58" s="15">
        <f t="shared" si="106"/>
        <v>0.75</v>
      </c>
      <c r="BL58" s="13">
        <f>'[2]Oct-Dec''25'!BN58+'[2]Apr-Sep''25'!BN58</f>
        <v>7</v>
      </c>
      <c r="BM58" s="13">
        <f>'[2]Oct-Dec''25'!BO58+'[2]Apr-Sep''25'!BO58</f>
        <v>6</v>
      </c>
      <c r="BN58" s="15">
        <f t="shared" si="107"/>
        <v>0.8571428571428571</v>
      </c>
      <c r="BO58" s="13">
        <f>'[2]Oct-Dec''25'!BQ58+'[2]Apr-Sep''25'!BQ58</f>
        <v>4</v>
      </c>
      <c r="BP58" s="13">
        <f>'[2]Oct-Dec''25'!BR58+'[2]Apr-Sep''25'!BR58</f>
        <v>4</v>
      </c>
      <c r="BQ58" s="15">
        <f t="shared" si="108"/>
        <v>1</v>
      </c>
      <c r="BR58" s="13">
        <f>'[2]Oct-Dec''25'!BT58+'[2]Apr-Sep''25'!BT58</f>
        <v>10</v>
      </c>
      <c r="BS58" s="13">
        <f>'[2]Oct-Dec''25'!BU58+'[2]Apr-Sep''25'!BU58</f>
        <v>10</v>
      </c>
      <c r="BT58" s="14">
        <f t="shared" si="109"/>
        <v>1</v>
      </c>
      <c r="BU58" s="13">
        <f>'[2]Oct-Dec''25'!BW58+'[2]Apr-Sep''25'!BW58</f>
        <v>0</v>
      </c>
      <c r="BV58" s="13">
        <f>'[2]Oct-Dec''25'!BX58+'[2]Apr-Sep''25'!BX58</f>
        <v>0</v>
      </c>
      <c r="BW58" s="14">
        <f t="shared" si="110"/>
        <v>0</v>
      </c>
      <c r="BX58" s="13">
        <f>'[2]Oct-Dec''25'!BZ58+'[2]Apr-Sep''25'!BZ58</f>
        <v>319</v>
      </c>
      <c r="BY58" s="13">
        <f>'[2]Oct-Dec''25'!CA58+'[2]Apr-Sep''25'!CA58</f>
        <v>319</v>
      </c>
      <c r="BZ58" s="14">
        <f t="shared" si="111"/>
        <v>1</v>
      </c>
      <c r="CA58" s="13">
        <f>'[2]Oct-Dec''25'!CC58+'[2]Apr-Sep''25'!CC58</f>
        <v>132</v>
      </c>
      <c r="CB58" s="13">
        <f>'[2]Oct-Dec''25'!CD58+'[2]Apr-Sep''25'!CD58</f>
        <v>151</v>
      </c>
      <c r="CC58" s="14">
        <f t="shared" si="112"/>
        <v>1.143939393939394</v>
      </c>
      <c r="CD58" s="13">
        <f>'[2]Oct-Dec''25'!CF58+'[2]Apr-Sep''25'!CF58</f>
        <v>0</v>
      </c>
      <c r="CE58" s="13">
        <f>'[2]Oct-Dec''25'!CG58+'[2]Apr-Sep''25'!CG58</f>
        <v>0</v>
      </c>
      <c r="CF58" s="14">
        <f t="shared" si="113"/>
        <v>0</v>
      </c>
    </row>
    <row r="59" spans="1:84" ht="36" x14ac:dyDescent="0.25">
      <c r="A59" s="12">
        <f>'[2]Oct-Dec''25'!A59</f>
        <v>53</v>
      </c>
      <c r="B59" s="12" t="str">
        <f>'[2]Oct-Dec''25'!B59</f>
        <v>UPNP+</v>
      </c>
      <c r="C59" s="1" t="str">
        <f>'[2]Oct-Dec''25'!C59</f>
        <v>Uttar Pradesh</v>
      </c>
      <c r="D59" s="3" t="str">
        <f>'[2]Oct-Dec''25'!D59</f>
        <v>DEORIA WELFARE FOR PEOPLE LIVING WITH AIDS SOCIETY</v>
      </c>
      <c r="E59" s="1" t="str">
        <f>'[2]Oct-Dec''25'!E59</f>
        <v>DEORIA</v>
      </c>
      <c r="F59" s="12" t="s">
        <v>85</v>
      </c>
      <c r="G59" s="13">
        <f>'[2]Oct-Dec''25'!H59+'[2]Apr-Sep''25'!H59</f>
        <v>289</v>
      </c>
      <c r="H59" s="13">
        <f>'[2]Oct-Dec''25'!I59+'[2]Apr-Sep''25'!I59</f>
        <v>318</v>
      </c>
      <c r="I59" s="7">
        <f t="shared" si="87"/>
        <v>1.1003460207612457</v>
      </c>
      <c r="J59" s="13">
        <f>'[2]Oct-Dec''25'!K59+'[2]Apr-Sep''25'!K59</f>
        <v>1</v>
      </c>
      <c r="K59" s="13">
        <f>'[2]Oct-Dec''25'!L59+'[2]Apr-Sep''25'!L59</f>
        <v>1</v>
      </c>
      <c r="L59" s="7">
        <f>K59/J59</f>
        <v>1</v>
      </c>
      <c r="M59" s="13">
        <f>'[2]Oct-Dec''25'!N59+'[2]Apr-Sep''25'!N59</f>
        <v>286</v>
      </c>
      <c r="N59" s="13">
        <f>'[2]Oct-Dec''25'!O59+'[2]Apr-Sep''25'!O59</f>
        <v>286</v>
      </c>
      <c r="O59" s="8">
        <f t="shared" si="88"/>
        <v>1</v>
      </c>
      <c r="P59" s="13">
        <f>'[2]Oct-Dec''25'!Q59+'[2]Apr-Sep''25'!Q59</f>
        <v>239</v>
      </c>
      <c r="Q59" s="13">
        <f>'[2]Oct-Dec''25'!R59+'[2]Apr-Sep''25'!R59</f>
        <v>228</v>
      </c>
      <c r="R59" s="8">
        <f t="shared" si="89"/>
        <v>0.95397489539748959</v>
      </c>
      <c r="S59" s="13">
        <f>'[2]Oct-Dec''25'!T59+'[2]Apr-Sep''25'!T59</f>
        <v>3166</v>
      </c>
      <c r="T59" s="13">
        <f>'[2]Oct-Dec''25'!U59+'[2]Apr-Sep''25'!U59</f>
        <v>2812</v>
      </c>
      <c r="U59" s="8">
        <f t="shared" si="90"/>
        <v>0.88818698673404928</v>
      </c>
      <c r="V59" s="13">
        <f>'[2]Oct-Dec''25'!W59+'[2]Apr-Sep''25'!W59</f>
        <v>699</v>
      </c>
      <c r="W59" s="13">
        <f>'[2]Oct-Dec''25'!Y59+'[2]Apr-Sep''25'!Y59</f>
        <v>627</v>
      </c>
      <c r="X59" s="8">
        <f t="shared" si="91"/>
        <v>0.89699570815450647</v>
      </c>
      <c r="Y59" s="13">
        <f>'[2]Oct-Dec''25'!AA59+'[2]Apr-Sep''25'!AA59</f>
        <v>24</v>
      </c>
      <c r="Z59" s="13">
        <f>'[2]Oct-Dec''25'!AB59+'[2]Apr-Sep''25'!AB59</f>
        <v>24</v>
      </c>
      <c r="AA59" s="8">
        <f t="shared" si="92"/>
        <v>1</v>
      </c>
      <c r="AB59" s="13">
        <f>'[2]Oct-Dec''25'!AD59+'[2]Apr-Sep''25'!AD59</f>
        <v>71</v>
      </c>
      <c r="AC59" s="13">
        <f>'[2]Oct-Dec''25'!AE59+'[2]Apr-Sep''25'!AE59</f>
        <v>66</v>
      </c>
      <c r="AD59" s="8">
        <f t="shared" si="93"/>
        <v>0.92957746478873238</v>
      </c>
      <c r="AE59" s="13">
        <f>'[2]Oct-Dec''25'!AJ59+'[2]Apr-Sep''25'!AJ59</f>
        <v>743</v>
      </c>
      <c r="AF59" s="13">
        <f>'[2]Oct-Dec''25'!AK59+'[2]Apr-Sep''25'!AK59</f>
        <v>743</v>
      </c>
      <c r="AG59" s="8">
        <f t="shared" si="94"/>
        <v>1</v>
      </c>
      <c r="AH59" s="13">
        <f>'[2]Oct-Dec''25'!AM59+'[2]Apr-Sep''25'!AM59</f>
        <v>0</v>
      </c>
      <c r="AI59" s="13">
        <f>'[2]Oct-Dec''25'!AN59+'[2]Apr-Sep''25'!AN59</f>
        <v>0</v>
      </c>
      <c r="AJ59" s="8" t="e">
        <f t="shared" si="95"/>
        <v>#DIV/0!</v>
      </c>
      <c r="AK59" s="13">
        <f>'[2]Oct-Dec''25'!AP59+'[2]Apr-Sep''25'!AP59</f>
        <v>128</v>
      </c>
      <c r="AL59" s="13">
        <f>'[2]Oct-Dec''25'!AQ59+'[2]Apr-Sep''25'!AQ59</f>
        <v>128</v>
      </c>
      <c r="AM59" s="8">
        <f t="shared" si="96"/>
        <v>1</v>
      </c>
      <c r="AN59" s="13">
        <f>'[2]Oct-Dec''25'!AS59+'[2]Apr-Sep''25'!AS59</f>
        <v>115</v>
      </c>
      <c r="AO59" s="13">
        <f>'[2]Oct-Dec''25'!AT59+'[2]Apr-Sep''25'!AT59</f>
        <v>115</v>
      </c>
      <c r="AP59" s="8">
        <f t="shared" si="97"/>
        <v>1</v>
      </c>
      <c r="AQ59" s="13">
        <f>'[2]Oct-Dec''25'!AV59+'[2]Apr-Sep''25'!AV59</f>
        <v>12</v>
      </c>
      <c r="AR59" s="13">
        <f>'[2]Oct-Dec''25'!AW59+'[2]Apr-Sep''25'!AW59</f>
        <v>12</v>
      </c>
      <c r="AS59" s="8">
        <f t="shared" si="98"/>
        <v>1</v>
      </c>
      <c r="AT59" s="13">
        <f>'[2]Oct-Dec''25'!AY59+'[2]Apr-Sep''25'!AY59</f>
        <v>47</v>
      </c>
      <c r="AU59" s="13">
        <f>'[2]Oct-Dec''25'!AZ59+'[2]Apr-Sep''25'!AZ59</f>
        <v>47</v>
      </c>
      <c r="AV59" s="8">
        <f t="shared" si="99"/>
        <v>1</v>
      </c>
      <c r="AW59" s="9">
        <f t="shared" si="100"/>
        <v>174</v>
      </c>
      <c r="AX59" s="9">
        <f t="shared" si="101"/>
        <v>174</v>
      </c>
      <c r="AY59" s="8">
        <f t="shared" si="102"/>
        <v>1</v>
      </c>
      <c r="AZ59" s="13">
        <f>'[2]Oct-Dec''25'!BB59+'[2]Apr-Sep''25'!BB59</f>
        <v>0</v>
      </c>
      <c r="BA59" s="13">
        <f>'[2]Oct-Dec''25'!BC59+'[2]Apr-Sep''25'!BC59</f>
        <v>0</v>
      </c>
      <c r="BB59" s="14">
        <f t="shared" si="103"/>
        <v>0</v>
      </c>
      <c r="BC59" s="13">
        <f>'[2]Oct-Dec''25'!BE59+'[2]Apr-Sep''25'!BE59</f>
        <v>7</v>
      </c>
      <c r="BD59" s="13">
        <f>'[2]Oct-Dec''25'!BF59+'[2]Apr-Sep''25'!BF59</f>
        <v>7</v>
      </c>
      <c r="BE59" s="14">
        <f t="shared" si="104"/>
        <v>1</v>
      </c>
      <c r="BF59" s="13">
        <f>'[2]Oct-Dec''25'!BH59+'[2]Apr-Sep''25'!BH59</f>
        <v>19</v>
      </c>
      <c r="BG59" s="13">
        <f>'[2]Oct-Dec''25'!BI59+'[2]Apr-Sep''25'!BI59</f>
        <v>19</v>
      </c>
      <c r="BH59" s="14">
        <f t="shared" si="105"/>
        <v>1</v>
      </c>
      <c r="BI59" s="13">
        <f>'[2]Oct-Dec''25'!BK59+'[2]Apr-Sep''25'!BK59</f>
        <v>8</v>
      </c>
      <c r="BJ59" s="13">
        <f>'[2]Oct-Dec''25'!BL59+'[2]Apr-Sep''25'!BL59</f>
        <v>8</v>
      </c>
      <c r="BK59" s="15">
        <f t="shared" si="106"/>
        <v>1</v>
      </c>
      <c r="BL59" s="13">
        <f>'[2]Oct-Dec''25'!BN59+'[2]Apr-Sep''25'!BN59</f>
        <v>6</v>
      </c>
      <c r="BM59" s="13">
        <f>'[2]Oct-Dec''25'!BO59+'[2]Apr-Sep''25'!BO59</f>
        <v>6</v>
      </c>
      <c r="BN59" s="15">
        <f t="shared" si="107"/>
        <v>1</v>
      </c>
      <c r="BO59" s="13">
        <f>'[2]Oct-Dec''25'!BQ59+'[2]Apr-Sep''25'!BQ59</f>
        <v>5</v>
      </c>
      <c r="BP59" s="13">
        <f>'[2]Oct-Dec''25'!BR59+'[2]Apr-Sep''25'!BR59</f>
        <v>5</v>
      </c>
      <c r="BQ59" s="15">
        <f t="shared" si="108"/>
        <v>1</v>
      </c>
      <c r="BR59" s="13">
        <f>'[2]Oct-Dec''25'!BT59+'[2]Apr-Sep''25'!BT59</f>
        <v>17</v>
      </c>
      <c r="BS59" s="13">
        <f>'[2]Oct-Dec''25'!BU59+'[2]Apr-Sep''25'!BU59</f>
        <v>17</v>
      </c>
      <c r="BT59" s="14">
        <f t="shared" si="109"/>
        <v>1</v>
      </c>
      <c r="BU59" s="13">
        <f>'[2]Oct-Dec''25'!BW59+'[2]Apr-Sep''25'!BW59</f>
        <v>0</v>
      </c>
      <c r="BV59" s="13">
        <f>'[2]Oct-Dec''25'!BX59+'[2]Apr-Sep''25'!BX59</f>
        <v>0</v>
      </c>
      <c r="BW59" s="14">
        <f t="shared" si="110"/>
        <v>0</v>
      </c>
      <c r="BX59" s="13">
        <f>'[2]Oct-Dec''25'!BZ59+'[2]Apr-Sep''25'!BZ59</f>
        <v>318</v>
      </c>
      <c r="BY59" s="13">
        <f>'[2]Oct-Dec''25'!CA59+'[2]Apr-Sep''25'!CA59</f>
        <v>319</v>
      </c>
      <c r="BZ59" s="14">
        <f t="shared" si="111"/>
        <v>1.0031446540880504</v>
      </c>
      <c r="CA59" s="13">
        <f>'[2]Oct-Dec''25'!CC59+'[2]Apr-Sep''25'!CC59</f>
        <v>138</v>
      </c>
      <c r="CB59" s="13">
        <f>'[2]Oct-Dec''25'!CD59+'[2]Apr-Sep''25'!CD59</f>
        <v>118</v>
      </c>
      <c r="CC59" s="14">
        <f t="shared" si="112"/>
        <v>0.85507246376811596</v>
      </c>
      <c r="CD59" s="13">
        <f>'[2]Oct-Dec''25'!CF59+'[2]Apr-Sep''25'!CF59</f>
        <v>0</v>
      </c>
      <c r="CE59" s="13">
        <f>'[2]Oct-Dec''25'!CG59+'[2]Apr-Sep''25'!CG59</f>
        <v>0</v>
      </c>
      <c r="CF59" s="14">
        <f t="shared" si="113"/>
        <v>0</v>
      </c>
    </row>
    <row r="60" spans="1:84" ht="24" x14ac:dyDescent="0.25">
      <c r="A60" s="12">
        <f>'[2]Oct-Dec''25'!A60</f>
        <v>54</v>
      </c>
      <c r="B60" s="12" t="str">
        <f>'[2]Oct-Dec''25'!B60</f>
        <v>UPNP+</v>
      </c>
      <c r="C60" s="1" t="str">
        <f>'[2]Oct-Dec''25'!C60</f>
        <v>Uttar Pradesh</v>
      </c>
      <c r="D60" s="3" t="str">
        <f>'[2]Oct-Dec''25'!D60</f>
        <v>JYOTI GRAMIN KALYAN SANSTHAN</v>
      </c>
      <c r="E60" s="1" t="str">
        <f>'[2]Oct-Dec''25'!E60</f>
        <v>GHAZIPUR</v>
      </c>
      <c r="F60" s="12" t="s">
        <v>85</v>
      </c>
      <c r="G60" s="13">
        <f>'[2]Oct-Dec''25'!H60+'[2]Apr-Sep''25'!H60</f>
        <v>230</v>
      </c>
      <c r="H60" s="13">
        <f>'[2]Oct-Dec''25'!I60+'[2]Apr-Sep''25'!I60</f>
        <v>222</v>
      </c>
      <c r="I60" s="7">
        <f t="shared" si="87"/>
        <v>0.9652173913043478</v>
      </c>
      <c r="J60" s="13">
        <f>'[2]Oct-Dec''25'!K60+'[2]Apr-Sep''25'!K60</f>
        <v>5</v>
      </c>
      <c r="K60" s="13">
        <f>'[2]Oct-Dec''25'!L60+'[2]Apr-Sep''25'!L60</f>
        <v>5</v>
      </c>
      <c r="L60" s="7">
        <f>K60/J60</f>
        <v>1</v>
      </c>
      <c r="M60" s="13">
        <f>'[2]Oct-Dec''25'!N60+'[2]Apr-Sep''25'!N60</f>
        <v>182</v>
      </c>
      <c r="N60" s="13">
        <f>'[2]Oct-Dec''25'!O60+'[2]Apr-Sep''25'!O60</f>
        <v>182</v>
      </c>
      <c r="O60" s="8">
        <f t="shared" si="88"/>
        <v>1</v>
      </c>
      <c r="P60" s="13">
        <f>'[2]Oct-Dec''25'!Q60+'[2]Apr-Sep''25'!Q60</f>
        <v>167</v>
      </c>
      <c r="Q60" s="13">
        <f>'[2]Oct-Dec''25'!R60+'[2]Apr-Sep''25'!R60</f>
        <v>151</v>
      </c>
      <c r="R60" s="8">
        <f t="shared" si="89"/>
        <v>0.90419161676646709</v>
      </c>
      <c r="S60" s="13">
        <f>'[2]Oct-Dec''25'!T60+'[2]Apr-Sep''25'!T60</f>
        <v>356</v>
      </c>
      <c r="T60" s="13">
        <f>'[2]Oct-Dec''25'!U60+'[2]Apr-Sep''25'!U60</f>
        <v>261</v>
      </c>
      <c r="U60" s="8">
        <f t="shared" si="90"/>
        <v>0.7331460674157303</v>
      </c>
      <c r="V60" s="13">
        <f>'[2]Oct-Dec''25'!W60+'[2]Apr-Sep''25'!W60</f>
        <v>313</v>
      </c>
      <c r="W60" s="13">
        <f>'[2]Oct-Dec''25'!Y60+'[2]Apr-Sep''25'!Y60</f>
        <v>238</v>
      </c>
      <c r="X60" s="8">
        <f t="shared" si="91"/>
        <v>0.76038338658146964</v>
      </c>
      <c r="Y60" s="13">
        <f>'[2]Oct-Dec''25'!AA60+'[2]Apr-Sep''25'!AA60</f>
        <v>145</v>
      </c>
      <c r="Z60" s="13">
        <f>'[2]Oct-Dec''25'!AB60+'[2]Apr-Sep''25'!AB60</f>
        <v>145</v>
      </c>
      <c r="AA60" s="8">
        <f t="shared" si="92"/>
        <v>1</v>
      </c>
      <c r="AB60" s="13">
        <f>'[2]Oct-Dec''25'!AD60+'[2]Apr-Sep''25'!AD60</f>
        <v>111</v>
      </c>
      <c r="AC60" s="13">
        <f>'[2]Oct-Dec''25'!AE60+'[2]Apr-Sep''25'!AE60</f>
        <v>103</v>
      </c>
      <c r="AD60" s="8">
        <f t="shared" si="93"/>
        <v>0.92792792792792789</v>
      </c>
      <c r="AE60" s="13">
        <f>'[2]Oct-Dec''25'!AJ60+'[2]Apr-Sep''25'!AJ60</f>
        <v>175</v>
      </c>
      <c r="AF60" s="13">
        <f>'[2]Oct-Dec''25'!AK60+'[2]Apr-Sep''25'!AK60</f>
        <v>175</v>
      </c>
      <c r="AG60" s="8">
        <f t="shared" si="94"/>
        <v>1</v>
      </c>
      <c r="AH60" s="13">
        <f>'[2]Oct-Dec''25'!AM60+'[2]Apr-Sep''25'!AM60</f>
        <v>0</v>
      </c>
      <c r="AI60" s="13">
        <f>'[2]Oct-Dec''25'!AN60+'[2]Apr-Sep''25'!AN60</f>
        <v>0</v>
      </c>
      <c r="AJ60" s="8" t="e">
        <f t="shared" si="95"/>
        <v>#DIV/0!</v>
      </c>
      <c r="AK60" s="13">
        <f>'[2]Oct-Dec''25'!AP60+'[2]Apr-Sep''25'!AP60</f>
        <v>2</v>
      </c>
      <c r="AL60" s="13">
        <f>'[2]Oct-Dec''25'!AQ60+'[2]Apr-Sep''25'!AQ60</f>
        <v>2</v>
      </c>
      <c r="AM60" s="8">
        <f t="shared" si="96"/>
        <v>1</v>
      </c>
      <c r="AN60" s="13">
        <f>'[2]Oct-Dec''25'!AS60+'[2]Apr-Sep''25'!AS60</f>
        <v>12</v>
      </c>
      <c r="AO60" s="13">
        <f>'[2]Oct-Dec''25'!AT60+'[2]Apr-Sep''25'!AT60</f>
        <v>11</v>
      </c>
      <c r="AP60" s="8">
        <f t="shared" si="97"/>
        <v>0.91666666666666663</v>
      </c>
      <c r="AQ60" s="13">
        <f>'[2]Oct-Dec''25'!AV60+'[2]Apr-Sep''25'!AV60</f>
        <v>0</v>
      </c>
      <c r="AR60" s="13">
        <f>'[2]Oct-Dec''25'!AW60+'[2]Apr-Sep''25'!AW60</f>
        <v>0</v>
      </c>
      <c r="AS60" s="8" t="e">
        <f t="shared" si="98"/>
        <v>#DIV/0!</v>
      </c>
      <c r="AT60" s="13">
        <f>'[2]Oct-Dec''25'!AY60+'[2]Apr-Sep''25'!AY60</f>
        <v>49</v>
      </c>
      <c r="AU60" s="13">
        <f>'[2]Oct-Dec''25'!AZ60+'[2]Apr-Sep''25'!AZ60</f>
        <v>49</v>
      </c>
      <c r="AV60" s="8">
        <f t="shared" si="99"/>
        <v>1</v>
      </c>
      <c r="AW60" s="9">
        <f t="shared" si="100"/>
        <v>61</v>
      </c>
      <c r="AX60" s="9">
        <f t="shared" si="101"/>
        <v>60</v>
      </c>
      <c r="AY60" s="8">
        <f t="shared" si="102"/>
        <v>0.98360655737704916</v>
      </c>
      <c r="AZ60" s="13">
        <f>'[2]Oct-Dec''25'!BB60+'[2]Apr-Sep''25'!BB60</f>
        <v>10</v>
      </c>
      <c r="BA60" s="13">
        <f>'[2]Oct-Dec''25'!BC60+'[2]Apr-Sep''25'!BC60</f>
        <v>10</v>
      </c>
      <c r="BB60" s="14">
        <f t="shared" si="103"/>
        <v>1</v>
      </c>
      <c r="BC60" s="13">
        <f>'[2]Oct-Dec''25'!BE60+'[2]Apr-Sep''25'!BE60</f>
        <v>11</v>
      </c>
      <c r="BD60" s="13">
        <f>'[2]Oct-Dec''25'!BF60+'[2]Apr-Sep''25'!BF60</f>
        <v>11</v>
      </c>
      <c r="BE60" s="14">
        <f t="shared" si="104"/>
        <v>1</v>
      </c>
      <c r="BF60" s="13">
        <f>'[2]Oct-Dec''25'!BH60+'[2]Apr-Sep''25'!BH60</f>
        <v>18</v>
      </c>
      <c r="BG60" s="13">
        <f>'[2]Oct-Dec''25'!BI60+'[2]Apr-Sep''25'!BI60</f>
        <v>18</v>
      </c>
      <c r="BH60" s="14">
        <f t="shared" si="105"/>
        <v>1</v>
      </c>
      <c r="BI60" s="13">
        <f>'[2]Oct-Dec''25'!BK60+'[2]Apr-Sep''25'!BK60</f>
        <v>8</v>
      </c>
      <c r="BJ60" s="13">
        <f>'[2]Oct-Dec''25'!BL60+'[2]Apr-Sep''25'!BL60</f>
        <v>8</v>
      </c>
      <c r="BK60" s="15">
        <f t="shared" si="106"/>
        <v>1</v>
      </c>
      <c r="BL60" s="13">
        <f>'[2]Oct-Dec''25'!BN60+'[2]Apr-Sep''25'!BN60</f>
        <v>13</v>
      </c>
      <c r="BM60" s="13">
        <f>'[2]Oct-Dec''25'!BO60+'[2]Apr-Sep''25'!BO60</f>
        <v>13</v>
      </c>
      <c r="BN60" s="15">
        <f t="shared" si="107"/>
        <v>1</v>
      </c>
      <c r="BO60" s="13">
        <f>'[2]Oct-Dec''25'!BQ60+'[2]Apr-Sep''25'!BQ60</f>
        <v>9</v>
      </c>
      <c r="BP60" s="13">
        <f>'[2]Oct-Dec''25'!BR60+'[2]Apr-Sep''25'!BR60</f>
        <v>10</v>
      </c>
      <c r="BQ60" s="15">
        <f t="shared" si="108"/>
        <v>1.1111111111111112</v>
      </c>
      <c r="BR60" s="13">
        <f>'[2]Oct-Dec''25'!BT60+'[2]Apr-Sep''25'!BT60</f>
        <v>7</v>
      </c>
      <c r="BS60" s="13">
        <f>'[2]Oct-Dec''25'!BU60+'[2]Apr-Sep''25'!BU60</f>
        <v>7</v>
      </c>
      <c r="BT60" s="14">
        <f t="shared" si="109"/>
        <v>1</v>
      </c>
      <c r="BU60" s="13">
        <f>'[2]Oct-Dec''25'!BW60+'[2]Apr-Sep''25'!BW60</f>
        <v>0</v>
      </c>
      <c r="BV60" s="13">
        <f>'[2]Oct-Dec''25'!BX60+'[2]Apr-Sep''25'!BX60</f>
        <v>0</v>
      </c>
      <c r="BW60" s="14">
        <f t="shared" si="110"/>
        <v>0</v>
      </c>
      <c r="BX60" s="13">
        <f>'[2]Oct-Dec''25'!BZ60+'[2]Apr-Sep''25'!BZ60</f>
        <v>222</v>
      </c>
      <c r="BY60" s="13">
        <f>'[2]Oct-Dec''25'!CA60+'[2]Apr-Sep''25'!CA60</f>
        <v>222</v>
      </c>
      <c r="BZ60" s="14">
        <f t="shared" si="111"/>
        <v>1</v>
      </c>
      <c r="CA60" s="13">
        <f>'[2]Oct-Dec''25'!CC60+'[2]Apr-Sep''25'!CC60</f>
        <v>116</v>
      </c>
      <c r="CB60" s="13">
        <f>'[2]Oct-Dec''25'!CD60+'[2]Apr-Sep''25'!CD60</f>
        <v>113</v>
      </c>
      <c r="CC60" s="14">
        <f t="shared" si="112"/>
        <v>0.97413793103448276</v>
      </c>
      <c r="CD60" s="13">
        <f>'[2]Oct-Dec''25'!CF60+'[2]Apr-Sep''25'!CF60</f>
        <v>0</v>
      </c>
      <c r="CE60" s="13">
        <f>'[2]Oct-Dec''25'!CG60+'[2]Apr-Sep''25'!CG60</f>
        <v>0</v>
      </c>
      <c r="CF60" s="14">
        <f t="shared" si="113"/>
        <v>0</v>
      </c>
    </row>
    <row r="61" spans="1:84" ht="48" x14ac:dyDescent="0.25">
      <c r="A61" s="12">
        <f>'[2]Oct-Dec''25'!A61</f>
        <v>55</v>
      </c>
      <c r="B61" s="12" t="str">
        <f>'[2]Oct-Dec''25'!B61</f>
        <v>UPNP+</v>
      </c>
      <c r="C61" s="1" t="str">
        <f>'[2]Oct-Dec''25'!C61</f>
        <v>Uttar Pradesh</v>
      </c>
      <c r="D61" s="3" t="str">
        <f>'[2]Oct-Dec''25'!D61</f>
        <v>KUSHINAGAR WELFARE FOR PEOPLE LIVING WITH AIDS SOCIETY</v>
      </c>
      <c r="E61" s="1" t="str">
        <f>'[2]Oct-Dec''25'!E61</f>
        <v>GORAKHPUR</v>
      </c>
      <c r="F61" s="12" t="s">
        <v>85</v>
      </c>
      <c r="G61" s="13">
        <f>'[2]Oct-Dec''25'!H61+'[2]Apr-Sep''25'!H61</f>
        <v>652</v>
      </c>
      <c r="H61" s="13">
        <f>'[2]Oct-Dec''25'!I61+'[2]Apr-Sep''25'!I61</f>
        <v>535</v>
      </c>
      <c r="I61" s="7">
        <f t="shared" si="87"/>
        <v>0.82055214723926384</v>
      </c>
      <c r="J61" s="13">
        <f>'[2]Oct-Dec''25'!K61+'[2]Apr-Sep''25'!K61</f>
        <v>0</v>
      </c>
      <c r="K61" s="13">
        <f>'[2]Oct-Dec''25'!L61+'[2]Apr-Sep''25'!L61</f>
        <v>0</v>
      </c>
      <c r="L61" s="7"/>
      <c r="M61" s="13">
        <f>'[2]Oct-Dec''25'!N61+'[2]Apr-Sep''25'!N61</f>
        <v>592</v>
      </c>
      <c r="N61" s="13">
        <f>'[2]Oct-Dec''25'!O61+'[2]Apr-Sep''25'!O61</f>
        <v>592</v>
      </c>
      <c r="O61" s="8">
        <f t="shared" si="88"/>
        <v>1</v>
      </c>
      <c r="P61" s="13">
        <f>'[2]Oct-Dec''25'!Q61+'[2]Apr-Sep''25'!Q61</f>
        <v>578</v>
      </c>
      <c r="Q61" s="13">
        <f>'[2]Oct-Dec''25'!R61+'[2]Apr-Sep''25'!R61</f>
        <v>530</v>
      </c>
      <c r="R61" s="8">
        <f t="shared" si="89"/>
        <v>0.91695501730103801</v>
      </c>
      <c r="S61" s="13">
        <f>'[2]Oct-Dec''25'!T61+'[2]Apr-Sep''25'!T61</f>
        <v>2230</v>
      </c>
      <c r="T61" s="13">
        <f>'[2]Oct-Dec''25'!U61+'[2]Apr-Sep''25'!U61</f>
        <v>1909</v>
      </c>
      <c r="U61" s="8">
        <f t="shared" si="90"/>
        <v>0.85605381165919281</v>
      </c>
      <c r="V61" s="13">
        <f>'[2]Oct-Dec''25'!W61+'[2]Apr-Sep''25'!W61</f>
        <v>834</v>
      </c>
      <c r="W61" s="13">
        <f>'[2]Oct-Dec''25'!Y61+'[2]Apr-Sep''25'!Y61</f>
        <v>691</v>
      </c>
      <c r="X61" s="8">
        <f t="shared" si="91"/>
        <v>0.82853717026378892</v>
      </c>
      <c r="Y61" s="13">
        <f>'[2]Oct-Dec''25'!AA61+'[2]Apr-Sep''25'!AA61</f>
        <v>435</v>
      </c>
      <c r="Z61" s="13">
        <f>'[2]Oct-Dec''25'!AB61+'[2]Apr-Sep''25'!AB61</f>
        <v>435</v>
      </c>
      <c r="AA61" s="8">
        <f t="shared" si="92"/>
        <v>1</v>
      </c>
      <c r="AB61" s="13">
        <f>'[2]Oct-Dec''25'!AD61+'[2]Apr-Sep''25'!AD61</f>
        <v>533</v>
      </c>
      <c r="AC61" s="13">
        <f>'[2]Oct-Dec''25'!AE61+'[2]Apr-Sep''25'!AE61</f>
        <v>485</v>
      </c>
      <c r="AD61" s="8">
        <f t="shared" si="93"/>
        <v>0.90994371482176362</v>
      </c>
      <c r="AE61" s="13">
        <f>'[2]Oct-Dec''25'!AJ61+'[2]Apr-Sep''25'!AJ61</f>
        <v>366</v>
      </c>
      <c r="AF61" s="13">
        <f>'[2]Oct-Dec''25'!AK61+'[2]Apr-Sep''25'!AK61</f>
        <v>361</v>
      </c>
      <c r="AG61" s="8">
        <f t="shared" si="94"/>
        <v>0.98633879781420764</v>
      </c>
      <c r="AH61" s="13">
        <f>'[2]Oct-Dec''25'!AM61+'[2]Apr-Sep''25'!AM61</f>
        <v>2</v>
      </c>
      <c r="AI61" s="13">
        <f>'[2]Oct-Dec''25'!AN61+'[2]Apr-Sep''25'!AN61</f>
        <v>2</v>
      </c>
      <c r="AJ61" s="8">
        <f t="shared" si="95"/>
        <v>1</v>
      </c>
      <c r="AK61" s="13">
        <f>'[2]Oct-Dec''25'!AP61+'[2]Apr-Sep''25'!AP61</f>
        <v>213</v>
      </c>
      <c r="AL61" s="13">
        <f>'[2]Oct-Dec''25'!AQ61+'[2]Apr-Sep''25'!AQ61</f>
        <v>211</v>
      </c>
      <c r="AM61" s="8">
        <f t="shared" si="96"/>
        <v>0.99061032863849763</v>
      </c>
      <c r="AN61" s="13">
        <f>'[2]Oct-Dec''25'!AS61+'[2]Apr-Sep''25'!AS61</f>
        <v>110</v>
      </c>
      <c r="AO61" s="13">
        <f>'[2]Oct-Dec''25'!AT61+'[2]Apr-Sep''25'!AT61</f>
        <v>109</v>
      </c>
      <c r="AP61" s="8">
        <f t="shared" si="97"/>
        <v>0.99090909090909096</v>
      </c>
      <c r="AQ61" s="13">
        <f>'[2]Oct-Dec''25'!AV61+'[2]Apr-Sep''25'!AV61</f>
        <v>0</v>
      </c>
      <c r="AR61" s="13">
        <f>'[2]Oct-Dec''25'!AW61+'[2]Apr-Sep''25'!AW61</f>
        <v>0</v>
      </c>
      <c r="AS61" s="8" t="e">
        <f t="shared" si="98"/>
        <v>#DIV/0!</v>
      </c>
      <c r="AT61" s="13">
        <f>'[2]Oct-Dec''25'!AY61+'[2]Apr-Sep''25'!AY61</f>
        <v>41</v>
      </c>
      <c r="AU61" s="13">
        <f>'[2]Oct-Dec''25'!AZ61+'[2]Apr-Sep''25'!AZ61</f>
        <v>41</v>
      </c>
      <c r="AV61" s="8">
        <f t="shared" si="99"/>
        <v>1</v>
      </c>
      <c r="AW61" s="9">
        <f t="shared" si="100"/>
        <v>151</v>
      </c>
      <c r="AX61" s="9">
        <f t="shared" si="101"/>
        <v>150</v>
      </c>
      <c r="AY61" s="8">
        <f t="shared" si="102"/>
        <v>0.99337748344370858</v>
      </c>
      <c r="AZ61" s="13">
        <f>'[2]Oct-Dec''25'!BB61+'[2]Apr-Sep''25'!BB61</f>
        <v>60</v>
      </c>
      <c r="BA61" s="13">
        <f>'[2]Oct-Dec''25'!BC61+'[2]Apr-Sep''25'!BC61</f>
        <v>56</v>
      </c>
      <c r="BB61" s="14">
        <f t="shared" si="103"/>
        <v>0.93333333333333335</v>
      </c>
      <c r="BC61" s="13">
        <f>'[2]Oct-Dec''25'!BE61+'[2]Apr-Sep''25'!BE61</f>
        <v>42</v>
      </c>
      <c r="BD61" s="13">
        <f>'[2]Oct-Dec''25'!BF61+'[2]Apr-Sep''25'!BF61</f>
        <v>42</v>
      </c>
      <c r="BE61" s="14">
        <f t="shared" si="104"/>
        <v>1</v>
      </c>
      <c r="BF61" s="13">
        <f>'[2]Oct-Dec''25'!BH61+'[2]Apr-Sep''25'!BH61</f>
        <v>43</v>
      </c>
      <c r="BG61" s="13">
        <f>'[2]Oct-Dec''25'!BI61+'[2]Apr-Sep''25'!BI61</f>
        <v>43</v>
      </c>
      <c r="BH61" s="14">
        <f t="shared" si="105"/>
        <v>1</v>
      </c>
      <c r="BI61" s="13">
        <f>'[2]Oct-Dec''25'!BK61+'[2]Apr-Sep''25'!BK61</f>
        <v>36</v>
      </c>
      <c r="BJ61" s="13">
        <f>'[2]Oct-Dec''25'!BL61+'[2]Apr-Sep''25'!BL61</f>
        <v>36</v>
      </c>
      <c r="BK61" s="15">
        <f t="shared" si="106"/>
        <v>1</v>
      </c>
      <c r="BL61" s="13">
        <f>'[2]Oct-Dec''25'!BN61+'[2]Apr-Sep''25'!BN61</f>
        <v>18</v>
      </c>
      <c r="BM61" s="13">
        <f>'[2]Oct-Dec''25'!BO61+'[2]Apr-Sep''25'!BO61</f>
        <v>18</v>
      </c>
      <c r="BN61" s="15">
        <f t="shared" si="107"/>
        <v>1</v>
      </c>
      <c r="BO61" s="13">
        <f>'[2]Oct-Dec''25'!BQ61+'[2]Apr-Sep''25'!BQ61</f>
        <v>19</v>
      </c>
      <c r="BP61" s="13">
        <f>'[2]Oct-Dec''25'!BR61+'[2]Apr-Sep''25'!BR61</f>
        <v>19</v>
      </c>
      <c r="BQ61" s="15">
        <f t="shared" si="108"/>
        <v>1</v>
      </c>
      <c r="BR61" s="13">
        <f>'[2]Oct-Dec''25'!BT61+'[2]Apr-Sep''25'!BT61</f>
        <v>34</v>
      </c>
      <c r="BS61" s="13">
        <f>'[2]Oct-Dec''25'!BU61+'[2]Apr-Sep''25'!BU61</f>
        <v>33</v>
      </c>
      <c r="BT61" s="14">
        <f t="shared" si="109"/>
        <v>0.97058823529411764</v>
      </c>
      <c r="BU61" s="13">
        <f>'[2]Oct-Dec''25'!BW61+'[2]Apr-Sep''25'!BW61</f>
        <v>0</v>
      </c>
      <c r="BV61" s="13">
        <f>'[2]Oct-Dec''25'!BX61+'[2]Apr-Sep''25'!BX61</f>
        <v>0</v>
      </c>
      <c r="BW61" s="14">
        <f t="shared" si="110"/>
        <v>0</v>
      </c>
      <c r="BX61" s="13">
        <f>'[2]Oct-Dec''25'!BZ61+'[2]Apr-Sep''25'!BZ61</f>
        <v>535</v>
      </c>
      <c r="BY61" s="13">
        <f>'[2]Oct-Dec''25'!CA61+'[2]Apr-Sep''25'!CA61</f>
        <v>514</v>
      </c>
      <c r="BZ61" s="14">
        <f t="shared" si="111"/>
        <v>0.96074766355140184</v>
      </c>
      <c r="CA61" s="13">
        <f>'[2]Oct-Dec''25'!CC61+'[2]Apr-Sep''25'!CC61</f>
        <v>480</v>
      </c>
      <c r="CB61" s="13">
        <f>'[2]Oct-Dec''25'!CD61+'[2]Apr-Sep''25'!CD61</f>
        <v>429</v>
      </c>
      <c r="CC61" s="14">
        <f t="shared" si="112"/>
        <v>0.89375000000000004</v>
      </c>
      <c r="CD61" s="13">
        <f>'[2]Oct-Dec''25'!CF61+'[2]Apr-Sep''25'!CF61</f>
        <v>0</v>
      </c>
      <c r="CE61" s="13">
        <f>'[2]Oct-Dec''25'!CG61+'[2]Apr-Sep''25'!CG61</f>
        <v>0</v>
      </c>
      <c r="CF61" s="14">
        <f t="shared" si="113"/>
        <v>0</v>
      </c>
    </row>
    <row r="62" spans="1:84" s="18" customFormat="1" ht="48" x14ac:dyDescent="0.25">
      <c r="A62" s="12">
        <f>'[2]Oct-Dec''25'!A62</f>
        <v>56</v>
      </c>
      <c r="B62" s="12" t="str">
        <f>'[2]Oct-Dec''25'!B62</f>
        <v>UPNP+</v>
      </c>
      <c r="C62" s="1" t="str">
        <f>'[2]Oct-Dec''25'!C62</f>
        <v>Uttar Pradesh</v>
      </c>
      <c r="D62" s="3" t="str">
        <f>'[2]Oct-Dec''25'!D62</f>
        <v>JAUNPUR NETWORK FOR HIV POSITIVE PEOPLE LIVING WITH AIDS SOCIETY</v>
      </c>
      <c r="E62" s="1" t="str">
        <f>'[2]Oct-Dec''25'!E62</f>
        <v>JAUNPUR</v>
      </c>
      <c r="F62" s="12" t="s">
        <v>85</v>
      </c>
      <c r="G62" s="13">
        <f>'[2]Oct-Dec''25'!H62+'[2]Apr-Sep''25'!H62</f>
        <v>217</v>
      </c>
      <c r="H62" s="13">
        <f>'[2]Oct-Dec''25'!I62+'[2]Apr-Sep''25'!I62</f>
        <v>238</v>
      </c>
      <c r="I62" s="7">
        <f t="shared" si="87"/>
        <v>1.096774193548387</v>
      </c>
      <c r="J62" s="13">
        <f>'[2]Oct-Dec''25'!K62+'[2]Apr-Sep''25'!K62</f>
        <v>18</v>
      </c>
      <c r="K62" s="13">
        <f>'[2]Oct-Dec''25'!L62+'[2]Apr-Sep''25'!L62</f>
        <v>18</v>
      </c>
      <c r="L62" s="7">
        <f>K62/J62</f>
        <v>1</v>
      </c>
      <c r="M62" s="13">
        <f>'[2]Oct-Dec''25'!N62+'[2]Apr-Sep''25'!N62</f>
        <v>170</v>
      </c>
      <c r="N62" s="13">
        <f>'[2]Oct-Dec''25'!O62+'[2]Apr-Sep''25'!O62</f>
        <v>170</v>
      </c>
      <c r="O62" s="8">
        <f t="shared" si="88"/>
        <v>1</v>
      </c>
      <c r="P62" s="13">
        <f>'[2]Oct-Dec''25'!Q62+'[2]Apr-Sep''25'!Q62</f>
        <v>158</v>
      </c>
      <c r="Q62" s="13">
        <f>'[2]Oct-Dec''25'!R62+'[2]Apr-Sep''25'!R62</f>
        <v>123</v>
      </c>
      <c r="R62" s="8">
        <f t="shared" si="89"/>
        <v>0.77848101265822789</v>
      </c>
      <c r="S62" s="13">
        <f>'[2]Oct-Dec''25'!T62+'[2]Apr-Sep''25'!T62</f>
        <v>1031</v>
      </c>
      <c r="T62" s="13">
        <f>'[2]Oct-Dec''25'!U62+'[2]Apr-Sep''25'!U62</f>
        <v>846</v>
      </c>
      <c r="U62" s="8">
        <f t="shared" si="90"/>
        <v>0.8205625606207565</v>
      </c>
      <c r="V62" s="13">
        <f>'[2]Oct-Dec''25'!W62+'[2]Apr-Sep''25'!W62</f>
        <v>318</v>
      </c>
      <c r="W62" s="13">
        <f>'[2]Oct-Dec''25'!Y62+'[2]Apr-Sep''25'!Y62</f>
        <v>274</v>
      </c>
      <c r="X62" s="8">
        <f t="shared" si="91"/>
        <v>0.86163522012578619</v>
      </c>
      <c r="Y62" s="13">
        <f>'[2]Oct-Dec''25'!AA62+'[2]Apr-Sep''25'!AA62</f>
        <v>196</v>
      </c>
      <c r="Z62" s="13">
        <f>'[2]Oct-Dec''25'!AB62+'[2]Apr-Sep''25'!AB62</f>
        <v>196</v>
      </c>
      <c r="AA62" s="8">
        <f t="shared" si="92"/>
        <v>1</v>
      </c>
      <c r="AB62" s="13">
        <f>'[2]Oct-Dec''25'!AD62+'[2]Apr-Sep''25'!AD62</f>
        <v>173</v>
      </c>
      <c r="AC62" s="13">
        <f>'[2]Oct-Dec''25'!AE62+'[2]Apr-Sep''25'!AE62</f>
        <v>70</v>
      </c>
      <c r="AD62" s="8">
        <f t="shared" si="93"/>
        <v>0.40462427745664742</v>
      </c>
      <c r="AE62" s="13">
        <f>'[2]Oct-Dec''25'!AJ62+'[2]Apr-Sep''25'!AJ62</f>
        <v>893</v>
      </c>
      <c r="AF62" s="13">
        <f>'[2]Oct-Dec''25'!AK62+'[2]Apr-Sep''25'!AK62</f>
        <v>786</v>
      </c>
      <c r="AG62" s="8">
        <f t="shared" si="94"/>
        <v>0.88017917133258683</v>
      </c>
      <c r="AH62" s="13">
        <f>'[2]Oct-Dec''25'!AM62+'[2]Apr-Sep''25'!AM62</f>
        <v>0</v>
      </c>
      <c r="AI62" s="13">
        <f>'[2]Oct-Dec''25'!AN62+'[2]Apr-Sep''25'!AN62</f>
        <v>0</v>
      </c>
      <c r="AJ62" s="8" t="e">
        <f t="shared" si="95"/>
        <v>#DIV/0!</v>
      </c>
      <c r="AK62" s="13">
        <f>'[2]Oct-Dec''25'!AP62+'[2]Apr-Sep''25'!AP62</f>
        <v>60</v>
      </c>
      <c r="AL62" s="13">
        <f>'[2]Oct-Dec''25'!AQ62+'[2]Apr-Sep''25'!AQ62</f>
        <v>36</v>
      </c>
      <c r="AM62" s="8">
        <f t="shared" si="96"/>
        <v>0.6</v>
      </c>
      <c r="AN62" s="13">
        <f>'[2]Oct-Dec''25'!AS62+'[2]Apr-Sep''25'!AS62</f>
        <v>9</v>
      </c>
      <c r="AO62" s="13">
        <f>'[2]Oct-Dec''25'!AT62+'[2]Apr-Sep''25'!AT62</f>
        <v>7</v>
      </c>
      <c r="AP62" s="8">
        <f t="shared" si="97"/>
        <v>0.77777777777777779</v>
      </c>
      <c r="AQ62" s="13">
        <f>'[2]Oct-Dec''25'!AV62+'[2]Apr-Sep''25'!AV62</f>
        <v>0</v>
      </c>
      <c r="AR62" s="13">
        <f>'[2]Oct-Dec''25'!AW62+'[2]Apr-Sep''25'!AW62</f>
        <v>0</v>
      </c>
      <c r="AS62" s="8" t="e">
        <f t="shared" si="98"/>
        <v>#DIV/0!</v>
      </c>
      <c r="AT62" s="13">
        <f>'[2]Oct-Dec''25'!AY62+'[2]Apr-Sep''25'!AY62</f>
        <v>8</v>
      </c>
      <c r="AU62" s="13">
        <f>'[2]Oct-Dec''25'!AZ62+'[2]Apr-Sep''25'!AZ62</f>
        <v>7</v>
      </c>
      <c r="AV62" s="8">
        <f t="shared" si="99"/>
        <v>0.875</v>
      </c>
      <c r="AW62" s="9">
        <f t="shared" si="100"/>
        <v>17</v>
      </c>
      <c r="AX62" s="9">
        <f t="shared" si="101"/>
        <v>14</v>
      </c>
      <c r="AY62" s="8">
        <f t="shared" si="102"/>
        <v>0.82352941176470584</v>
      </c>
      <c r="AZ62" s="13">
        <f>'[2]Oct-Dec''25'!BB62+'[2]Apr-Sep''25'!BB62</f>
        <v>318</v>
      </c>
      <c r="BA62" s="13">
        <f>'[2]Oct-Dec''25'!BC62+'[2]Apr-Sep''25'!BC62</f>
        <v>340</v>
      </c>
      <c r="BB62" s="14">
        <f t="shared" si="103"/>
        <v>1.0691823899371069</v>
      </c>
      <c r="BC62" s="13">
        <f>'[2]Oct-Dec''25'!BE62+'[2]Apr-Sep''25'!BE62</f>
        <v>13</v>
      </c>
      <c r="BD62" s="13">
        <f>'[2]Oct-Dec''25'!BF62+'[2]Apr-Sep''25'!BF62</f>
        <v>13</v>
      </c>
      <c r="BE62" s="14">
        <f t="shared" si="104"/>
        <v>1</v>
      </c>
      <c r="BF62" s="13">
        <f>'[2]Oct-Dec''25'!BH62+'[2]Apr-Sep''25'!BH62</f>
        <v>12</v>
      </c>
      <c r="BG62" s="13">
        <f>'[2]Oct-Dec''25'!BI62+'[2]Apr-Sep''25'!BI62</f>
        <v>12</v>
      </c>
      <c r="BH62" s="14">
        <f t="shared" si="105"/>
        <v>1</v>
      </c>
      <c r="BI62" s="13">
        <f>'[2]Oct-Dec''25'!BK62+'[2]Apr-Sep''25'!BK62</f>
        <v>14</v>
      </c>
      <c r="BJ62" s="13">
        <f>'[2]Oct-Dec''25'!BL62+'[2]Apr-Sep''25'!BL62</f>
        <v>14</v>
      </c>
      <c r="BK62" s="15">
        <f t="shared" si="106"/>
        <v>1</v>
      </c>
      <c r="BL62" s="13">
        <f>'[2]Oct-Dec''25'!BN62+'[2]Apr-Sep''25'!BN62</f>
        <v>11</v>
      </c>
      <c r="BM62" s="13">
        <f>'[2]Oct-Dec''25'!BO62+'[2]Apr-Sep''25'!BO62</f>
        <v>11</v>
      </c>
      <c r="BN62" s="15">
        <f t="shared" si="107"/>
        <v>1</v>
      </c>
      <c r="BO62" s="13">
        <f>'[2]Oct-Dec''25'!BQ62+'[2]Apr-Sep''25'!BQ62</f>
        <v>9</v>
      </c>
      <c r="BP62" s="13">
        <f>'[2]Oct-Dec''25'!BR62+'[2]Apr-Sep''25'!BR62</f>
        <v>9</v>
      </c>
      <c r="BQ62" s="15">
        <f t="shared" si="108"/>
        <v>1</v>
      </c>
      <c r="BR62" s="13">
        <f>'[2]Oct-Dec''25'!BT62+'[2]Apr-Sep''25'!BT62</f>
        <v>11</v>
      </c>
      <c r="BS62" s="13">
        <f>'[2]Oct-Dec''25'!BU62+'[2]Apr-Sep''25'!BU62</f>
        <v>9</v>
      </c>
      <c r="BT62" s="14">
        <f t="shared" si="109"/>
        <v>0.81818181818181823</v>
      </c>
      <c r="BU62" s="13">
        <f>'[2]Oct-Dec''25'!BW62+'[2]Apr-Sep''25'!BW62</f>
        <v>0</v>
      </c>
      <c r="BV62" s="13">
        <f>'[2]Oct-Dec''25'!BX62+'[2]Apr-Sep''25'!BX62</f>
        <v>0</v>
      </c>
      <c r="BW62" s="14">
        <f t="shared" si="110"/>
        <v>0</v>
      </c>
      <c r="BX62" s="13">
        <f>'[2]Oct-Dec''25'!BZ62+'[2]Apr-Sep''25'!BZ62</f>
        <v>238</v>
      </c>
      <c r="BY62" s="13">
        <f>'[2]Oct-Dec''25'!CA62+'[2]Apr-Sep''25'!CA62</f>
        <v>238</v>
      </c>
      <c r="BZ62" s="14">
        <f t="shared" si="111"/>
        <v>1</v>
      </c>
      <c r="CA62" s="13">
        <f>'[2]Oct-Dec''25'!CC62+'[2]Apr-Sep''25'!CC62</f>
        <v>120</v>
      </c>
      <c r="CB62" s="13">
        <f>'[2]Oct-Dec''25'!CD62+'[2]Apr-Sep''25'!CD62</f>
        <v>136</v>
      </c>
      <c r="CC62" s="14">
        <f t="shared" si="112"/>
        <v>1.1333333333333333</v>
      </c>
      <c r="CD62" s="13">
        <f>'[2]Oct-Dec''25'!CF62+'[2]Apr-Sep''25'!CF62</f>
        <v>0</v>
      </c>
      <c r="CE62" s="13">
        <f>'[2]Oct-Dec''25'!CG62+'[2]Apr-Sep''25'!CG62</f>
        <v>0</v>
      </c>
      <c r="CF62" s="14">
        <f t="shared" si="113"/>
        <v>0</v>
      </c>
    </row>
    <row r="63" spans="1:84" ht="36" x14ac:dyDescent="0.25">
      <c r="A63" s="12">
        <f>'[2]Oct-Dec''25'!A63</f>
        <v>57</v>
      </c>
      <c r="B63" s="12" t="str">
        <f>'[2]Oct-Dec''25'!B63</f>
        <v>UPNP+</v>
      </c>
      <c r="C63" s="1" t="str">
        <f>'[2]Oct-Dec''25'!C63</f>
        <v>Uttar Pradesh</v>
      </c>
      <c r="D63" s="3" t="str">
        <f>'[2]Oct-Dec''25'!D63</f>
        <v>ETAWAH NETWORK FOR PEOPLE LIVING WITH HIV/AIDS</v>
      </c>
      <c r="E63" s="1" t="str">
        <f>'[2]Oct-Dec''25'!E63</f>
        <v>KANPUR</v>
      </c>
      <c r="F63" s="12" t="s">
        <v>85</v>
      </c>
      <c r="G63" s="13">
        <f>'[2]Oct-Dec''25'!H63+'[2]Apr-Sep''25'!H63</f>
        <v>771</v>
      </c>
      <c r="H63" s="13">
        <f>'[2]Oct-Dec''25'!I63+'[2]Apr-Sep''25'!I63</f>
        <v>769</v>
      </c>
      <c r="I63" s="7">
        <f t="shared" si="87"/>
        <v>0.99740596627756162</v>
      </c>
      <c r="J63" s="13">
        <f>'[2]Oct-Dec''25'!K63+'[2]Apr-Sep''25'!K63</f>
        <v>5</v>
      </c>
      <c r="K63" s="13">
        <f>'[2]Oct-Dec''25'!L63+'[2]Apr-Sep''25'!L63</f>
        <v>5</v>
      </c>
      <c r="L63" s="7">
        <f>K63/J63</f>
        <v>1</v>
      </c>
      <c r="M63" s="13">
        <f>'[2]Oct-Dec''25'!N63+'[2]Apr-Sep''25'!N63</f>
        <v>877</v>
      </c>
      <c r="N63" s="13">
        <f>'[2]Oct-Dec''25'!O63+'[2]Apr-Sep''25'!O63</f>
        <v>877</v>
      </c>
      <c r="O63" s="8">
        <f t="shared" si="88"/>
        <v>1</v>
      </c>
      <c r="P63" s="13">
        <f>'[2]Oct-Dec''25'!Q63+'[2]Apr-Sep''25'!Q63</f>
        <v>753</v>
      </c>
      <c r="Q63" s="13">
        <f>'[2]Oct-Dec''25'!R63+'[2]Apr-Sep''25'!R63</f>
        <v>631</v>
      </c>
      <c r="R63" s="8">
        <f t="shared" si="89"/>
        <v>0.83798140770252327</v>
      </c>
      <c r="S63" s="13">
        <f>'[2]Oct-Dec''25'!T63+'[2]Apr-Sep''25'!T63</f>
        <v>3464</v>
      </c>
      <c r="T63" s="13">
        <f>'[2]Oct-Dec''25'!U63+'[2]Apr-Sep''25'!U63</f>
        <v>2367</v>
      </c>
      <c r="U63" s="8">
        <f t="shared" si="90"/>
        <v>0.68331408775981528</v>
      </c>
      <c r="V63" s="13">
        <f>'[2]Oct-Dec''25'!W63+'[2]Apr-Sep''25'!W63</f>
        <v>2027</v>
      </c>
      <c r="W63" s="13">
        <f>'[2]Oct-Dec''25'!Y63+'[2]Apr-Sep''25'!Y63</f>
        <v>1109</v>
      </c>
      <c r="X63" s="8">
        <f t="shared" si="91"/>
        <v>0.54711396151948688</v>
      </c>
      <c r="Y63" s="13">
        <f>'[2]Oct-Dec''25'!AA63+'[2]Apr-Sep''25'!AA63</f>
        <v>35</v>
      </c>
      <c r="Z63" s="13">
        <f>'[2]Oct-Dec''25'!AB63+'[2]Apr-Sep''25'!AB63</f>
        <v>35</v>
      </c>
      <c r="AA63" s="8">
        <f t="shared" si="92"/>
        <v>1</v>
      </c>
      <c r="AB63" s="13">
        <f>'[2]Oct-Dec''25'!AD63+'[2]Apr-Sep''25'!AD63</f>
        <v>20</v>
      </c>
      <c r="AC63" s="13">
        <f>'[2]Oct-Dec''25'!AE63+'[2]Apr-Sep''25'!AE63</f>
        <v>3</v>
      </c>
      <c r="AD63" s="8">
        <f t="shared" si="93"/>
        <v>0.15</v>
      </c>
      <c r="AE63" s="13">
        <f>'[2]Oct-Dec''25'!AJ63+'[2]Apr-Sep''25'!AJ63</f>
        <v>3085</v>
      </c>
      <c r="AF63" s="13">
        <f>'[2]Oct-Dec''25'!AK63+'[2]Apr-Sep''25'!AK63</f>
        <v>2252</v>
      </c>
      <c r="AG63" s="8">
        <f t="shared" si="94"/>
        <v>0.72998379254457046</v>
      </c>
      <c r="AH63" s="13">
        <f>'[2]Oct-Dec''25'!AM63+'[2]Apr-Sep''25'!AM63</f>
        <v>14</v>
      </c>
      <c r="AI63" s="13">
        <f>'[2]Oct-Dec''25'!AN63+'[2]Apr-Sep''25'!AN63</f>
        <v>14</v>
      </c>
      <c r="AJ63" s="8">
        <f t="shared" si="95"/>
        <v>1</v>
      </c>
      <c r="AK63" s="13">
        <f>'[2]Oct-Dec''25'!AP63+'[2]Apr-Sep''25'!AP63</f>
        <v>310</v>
      </c>
      <c r="AL63" s="13">
        <f>'[2]Oct-Dec''25'!AQ63+'[2]Apr-Sep''25'!AQ63</f>
        <v>266</v>
      </c>
      <c r="AM63" s="8">
        <f t="shared" si="96"/>
        <v>0.85806451612903223</v>
      </c>
      <c r="AN63" s="13">
        <f>'[2]Oct-Dec''25'!AS63+'[2]Apr-Sep''25'!AS63</f>
        <v>91</v>
      </c>
      <c r="AO63" s="13">
        <f>'[2]Oct-Dec''25'!AT63+'[2]Apr-Sep''25'!AT63</f>
        <v>0</v>
      </c>
      <c r="AP63" s="8">
        <f t="shared" si="97"/>
        <v>0</v>
      </c>
      <c r="AQ63" s="13">
        <f>'[2]Oct-Dec''25'!AV63+'[2]Apr-Sep''25'!AV63</f>
        <v>1</v>
      </c>
      <c r="AR63" s="13">
        <f>'[2]Oct-Dec''25'!AW63+'[2]Apr-Sep''25'!AW63</f>
        <v>0</v>
      </c>
      <c r="AS63" s="8">
        <f t="shared" si="98"/>
        <v>0</v>
      </c>
      <c r="AT63" s="13">
        <f>'[2]Oct-Dec''25'!AY63+'[2]Apr-Sep''25'!AY63</f>
        <v>69</v>
      </c>
      <c r="AU63" s="13">
        <f>'[2]Oct-Dec''25'!AZ63+'[2]Apr-Sep''25'!AZ63</f>
        <v>0</v>
      </c>
      <c r="AV63" s="8">
        <f t="shared" si="99"/>
        <v>0</v>
      </c>
      <c r="AW63" s="9">
        <f t="shared" si="100"/>
        <v>161</v>
      </c>
      <c r="AX63" s="9">
        <f t="shared" si="101"/>
        <v>0</v>
      </c>
      <c r="AY63" s="8">
        <f t="shared" si="102"/>
        <v>0</v>
      </c>
      <c r="AZ63" s="13">
        <f>'[2]Oct-Dec''25'!BB63+'[2]Apr-Sep''25'!BB63</f>
        <v>16</v>
      </c>
      <c r="BA63" s="13">
        <f>'[2]Oct-Dec''25'!BC63+'[2]Apr-Sep''25'!BC63</f>
        <v>351</v>
      </c>
      <c r="BB63" s="14">
        <f t="shared" si="103"/>
        <v>21.9375</v>
      </c>
      <c r="BC63" s="13">
        <f>'[2]Oct-Dec''25'!BE63+'[2]Apr-Sep''25'!BE63</f>
        <v>25</v>
      </c>
      <c r="BD63" s="13">
        <f>'[2]Oct-Dec''25'!BF63+'[2]Apr-Sep''25'!BF63</f>
        <v>25</v>
      </c>
      <c r="BE63" s="14">
        <f t="shared" si="104"/>
        <v>1</v>
      </c>
      <c r="BF63" s="13">
        <f>'[2]Oct-Dec''25'!BH63+'[2]Apr-Sep''25'!BH63</f>
        <v>16</v>
      </c>
      <c r="BG63" s="13">
        <f>'[2]Oct-Dec''25'!BI63+'[2]Apr-Sep''25'!BI63</f>
        <v>15</v>
      </c>
      <c r="BH63" s="14">
        <f t="shared" si="105"/>
        <v>0.9375</v>
      </c>
      <c r="BI63" s="13">
        <f>'[2]Oct-Dec''25'!BK63+'[2]Apr-Sep''25'!BK63</f>
        <v>12</v>
      </c>
      <c r="BJ63" s="13">
        <f>'[2]Oct-Dec''25'!BL63+'[2]Apr-Sep''25'!BL63</f>
        <v>12</v>
      </c>
      <c r="BK63" s="15">
        <f t="shared" si="106"/>
        <v>1</v>
      </c>
      <c r="BL63" s="13">
        <f>'[2]Oct-Dec''25'!BN63+'[2]Apr-Sep''25'!BN63</f>
        <v>2</v>
      </c>
      <c r="BM63" s="13">
        <f>'[2]Oct-Dec''25'!BO63+'[2]Apr-Sep''25'!BO63</f>
        <v>2</v>
      </c>
      <c r="BN63" s="15">
        <f t="shared" si="107"/>
        <v>1</v>
      </c>
      <c r="BO63" s="13">
        <f>'[2]Oct-Dec''25'!BQ63+'[2]Apr-Sep''25'!BQ63</f>
        <v>0</v>
      </c>
      <c r="BP63" s="13">
        <f>'[2]Oct-Dec''25'!BR63+'[2]Apr-Sep''25'!BR63</f>
        <v>0</v>
      </c>
      <c r="BQ63" s="15">
        <f t="shared" si="108"/>
        <v>0</v>
      </c>
      <c r="BR63" s="13">
        <f>'[2]Oct-Dec''25'!BT63+'[2]Apr-Sep''25'!BT63</f>
        <v>2</v>
      </c>
      <c r="BS63" s="13">
        <f>'[2]Oct-Dec''25'!BU63+'[2]Apr-Sep''25'!BU63</f>
        <v>2</v>
      </c>
      <c r="BT63" s="14">
        <f t="shared" si="109"/>
        <v>1</v>
      </c>
      <c r="BU63" s="13">
        <f>'[2]Oct-Dec''25'!BW63+'[2]Apr-Sep''25'!BW63</f>
        <v>0</v>
      </c>
      <c r="BV63" s="13">
        <f>'[2]Oct-Dec''25'!BX63+'[2]Apr-Sep''25'!BX63</f>
        <v>0</v>
      </c>
      <c r="BW63" s="14">
        <f t="shared" si="110"/>
        <v>0</v>
      </c>
      <c r="BX63" s="13">
        <f>'[2]Oct-Dec''25'!BZ63+'[2]Apr-Sep''25'!BZ63</f>
        <v>769</v>
      </c>
      <c r="BY63" s="13">
        <f>'[2]Oct-Dec''25'!CA63+'[2]Apr-Sep''25'!CA63</f>
        <v>746</v>
      </c>
      <c r="BZ63" s="14">
        <f t="shared" si="111"/>
        <v>0.97009102730819241</v>
      </c>
      <c r="CA63" s="13">
        <f>'[2]Oct-Dec''25'!CC63+'[2]Apr-Sep''25'!CC63</f>
        <v>413</v>
      </c>
      <c r="CB63" s="13">
        <f>'[2]Oct-Dec''25'!CD63+'[2]Apr-Sep''25'!CD63</f>
        <v>426</v>
      </c>
      <c r="CC63" s="14">
        <f t="shared" si="112"/>
        <v>1.0314769975786926</v>
      </c>
      <c r="CD63" s="13">
        <f>'[2]Oct-Dec''25'!CF63+'[2]Apr-Sep''25'!CF63</f>
        <v>92</v>
      </c>
      <c r="CE63" s="13">
        <f>'[2]Oct-Dec''25'!CG63+'[2]Apr-Sep''25'!CG63</f>
        <v>90</v>
      </c>
      <c r="CF63" s="14">
        <f t="shared" si="113"/>
        <v>0.97826086956521741</v>
      </c>
    </row>
    <row r="64" spans="1:84" ht="48" x14ac:dyDescent="0.25">
      <c r="A64" s="12">
        <f>'[2]Oct-Dec''25'!A64</f>
        <v>58</v>
      </c>
      <c r="B64" s="12" t="str">
        <f>'[2]Oct-Dec''25'!B64</f>
        <v>UPNP+</v>
      </c>
      <c r="C64" s="1" t="str">
        <f>'[2]Oct-Dec''25'!C64</f>
        <v>Uttar Pradesh</v>
      </c>
      <c r="D64" s="3" t="str">
        <f>'[2]Oct-Dec''25'!D64</f>
        <v>KUSHINAGAR WELFARE FOR PEOPLE LIVING WITH AIDS SOCIETY</v>
      </c>
      <c r="E64" s="1" t="str">
        <f>'[2]Oct-Dec''25'!E64</f>
        <v>KUSHINAGAR</v>
      </c>
      <c r="F64" s="12" t="s">
        <v>85</v>
      </c>
      <c r="G64" s="13">
        <f>'[2]Oct-Dec''25'!H64+'[2]Apr-Sep''25'!H64</f>
        <v>245</v>
      </c>
      <c r="H64" s="13">
        <f>'[2]Oct-Dec''25'!I64+'[2]Apr-Sep''25'!I64</f>
        <v>283</v>
      </c>
      <c r="I64" s="7">
        <f t="shared" si="87"/>
        <v>1.1551020408163266</v>
      </c>
      <c r="J64" s="13">
        <f>'[2]Oct-Dec''25'!K64+'[2]Apr-Sep''25'!K64</f>
        <v>0</v>
      </c>
      <c r="K64" s="13">
        <f>'[2]Oct-Dec''25'!L64+'[2]Apr-Sep''25'!L64</f>
        <v>0</v>
      </c>
      <c r="L64" s="7"/>
      <c r="M64" s="13">
        <f>'[2]Oct-Dec''25'!N64+'[2]Apr-Sep''25'!N64</f>
        <v>219</v>
      </c>
      <c r="N64" s="13">
        <f>'[2]Oct-Dec''25'!O64+'[2]Apr-Sep''25'!O64</f>
        <v>219</v>
      </c>
      <c r="O64" s="8">
        <f t="shared" si="88"/>
        <v>1</v>
      </c>
      <c r="P64" s="13">
        <f>'[2]Oct-Dec''25'!Q64+'[2]Apr-Sep''25'!Q64</f>
        <v>224</v>
      </c>
      <c r="Q64" s="13">
        <f>'[2]Oct-Dec''25'!R64+'[2]Apr-Sep''25'!R64</f>
        <v>207</v>
      </c>
      <c r="R64" s="8">
        <f t="shared" si="89"/>
        <v>0.9241071428571429</v>
      </c>
      <c r="S64" s="13">
        <f>'[2]Oct-Dec''25'!T64+'[2]Apr-Sep''25'!T64</f>
        <v>820</v>
      </c>
      <c r="T64" s="13">
        <f>'[2]Oct-Dec''25'!U64+'[2]Apr-Sep''25'!U64</f>
        <v>661</v>
      </c>
      <c r="U64" s="8">
        <f t="shared" si="90"/>
        <v>0.80609756097560981</v>
      </c>
      <c r="V64" s="13">
        <f>'[2]Oct-Dec''25'!W64+'[2]Apr-Sep''25'!W64</f>
        <v>429</v>
      </c>
      <c r="W64" s="13">
        <f>'[2]Oct-Dec''25'!Y64+'[2]Apr-Sep''25'!Y64</f>
        <v>331</v>
      </c>
      <c r="X64" s="8">
        <f t="shared" si="91"/>
        <v>0.77156177156177153</v>
      </c>
      <c r="Y64" s="13">
        <f>'[2]Oct-Dec''25'!AA64+'[2]Apr-Sep''25'!AA64</f>
        <v>101</v>
      </c>
      <c r="Z64" s="13">
        <f>'[2]Oct-Dec''25'!AB64+'[2]Apr-Sep''25'!AB64</f>
        <v>101</v>
      </c>
      <c r="AA64" s="8">
        <f t="shared" si="92"/>
        <v>1</v>
      </c>
      <c r="AB64" s="13">
        <f>'[2]Oct-Dec''25'!AD64+'[2]Apr-Sep''25'!AD64</f>
        <v>95</v>
      </c>
      <c r="AC64" s="13">
        <f>'[2]Oct-Dec''25'!AE64+'[2]Apr-Sep''25'!AE64</f>
        <v>58</v>
      </c>
      <c r="AD64" s="8">
        <f t="shared" si="93"/>
        <v>0.61052631578947369</v>
      </c>
      <c r="AE64" s="13">
        <f>'[2]Oct-Dec''25'!AJ64+'[2]Apr-Sep''25'!AJ64</f>
        <v>80</v>
      </c>
      <c r="AF64" s="13">
        <f>'[2]Oct-Dec''25'!AK64+'[2]Apr-Sep''25'!AK64</f>
        <v>67</v>
      </c>
      <c r="AG64" s="8">
        <f t="shared" si="94"/>
        <v>0.83750000000000002</v>
      </c>
      <c r="AH64" s="13">
        <f>'[2]Oct-Dec''25'!AM64+'[2]Apr-Sep''25'!AM64</f>
        <v>0</v>
      </c>
      <c r="AI64" s="13">
        <f>'[2]Oct-Dec''25'!AN64+'[2]Apr-Sep''25'!AN64</f>
        <v>0</v>
      </c>
      <c r="AJ64" s="8" t="e">
        <f t="shared" si="95"/>
        <v>#DIV/0!</v>
      </c>
      <c r="AK64" s="13">
        <f>'[2]Oct-Dec''25'!AP64+'[2]Apr-Sep''25'!AP64</f>
        <v>33</v>
      </c>
      <c r="AL64" s="13">
        <f>'[2]Oct-Dec''25'!AQ64+'[2]Apr-Sep''25'!AQ64</f>
        <v>18</v>
      </c>
      <c r="AM64" s="8">
        <f t="shared" si="96"/>
        <v>0.54545454545454541</v>
      </c>
      <c r="AN64" s="13">
        <f>'[2]Oct-Dec''25'!AS64+'[2]Apr-Sep''25'!AS64</f>
        <v>152</v>
      </c>
      <c r="AO64" s="13">
        <f>'[2]Oct-Dec''25'!AT64+'[2]Apr-Sep''25'!AT64</f>
        <v>151</v>
      </c>
      <c r="AP64" s="8">
        <f t="shared" si="97"/>
        <v>0.99342105263157898</v>
      </c>
      <c r="AQ64" s="13">
        <f>'[2]Oct-Dec''25'!AV64+'[2]Apr-Sep''25'!AV64</f>
        <v>4</v>
      </c>
      <c r="AR64" s="13">
        <f>'[2]Oct-Dec''25'!AW64+'[2]Apr-Sep''25'!AW64</f>
        <v>4</v>
      </c>
      <c r="AS64" s="8">
        <f t="shared" si="98"/>
        <v>1</v>
      </c>
      <c r="AT64" s="13">
        <f>'[2]Oct-Dec''25'!AY64+'[2]Apr-Sep''25'!AY64</f>
        <v>249</v>
      </c>
      <c r="AU64" s="13">
        <f>'[2]Oct-Dec''25'!AZ64+'[2]Apr-Sep''25'!AZ64</f>
        <v>249</v>
      </c>
      <c r="AV64" s="8">
        <f t="shared" si="99"/>
        <v>1</v>
      </c>
      <c r="AW64" s="9">
        <f t="shared" si="100"/>
        <v>405</v>
      </c>
      <c r="AX64" s="9">
        <f t="shared" si="101"/>
        <v>404</v>
      </c>
      <c r="AY64" s="8">
        <f t="shared" si="102"/>
        <v>0.9975308641975309</v>
      </c>
      <c r="AZ64" s="13">
        <f>'[2]Oct-Dec''25'!BB64+'[2]Apr-Sep''25'!BB64</f>
        <v>50</v>
      </c>
      <c r="BA64" s="13">
        <f>'[2]Oct-Dec''25'!BC64+'[2]Apr-Sep''25'!BC64</f>
        <v>47</v>
      </c>
      <c r="BB64" s="14">
        <f t="shared" si="103"/>
        <v>0.94</v>
      </c>
      <c r="BC64" s="13">
        <f>'[2]Oct-Dec''25'!BE64+'[2]Apr-Sep''25'!BE64</f>
        <v>8</v>
      </c>
      <c r="BD64" s="13">
        <f>'[2]Oct-Dec''25'!BF64+'[2]Apr-Sep''25'!BF64</f>
        <v>8</v>
      </c>
      <c r="BE64" s="14">
        <f t="shared" si="104"/>
        <v>1</v>
      </c>
      <c r="BF64" s="13">
        <f>'[2]Oct-Dec''25'!BH64+'[2]Apr-Sep''25'!BH64</f>
        <v>9</v>
      </c>
      <c r="BG64" s="13">
        <f>'[2]Oct-Dec''25'!BI64+'[2]Apr-Sep''25'!BI64</f>
        <v>8</v>
      </c>
      <c r="BH64" s="14">
        <f t="shared" si="105"/>
        <v>0.88888888888888884</v>
      </c>
      <c r="BI64" s="13">
        <f>'[2]Oct-Dec''25'!BK64+'[2]Apr-Sep''25'!BK64</f>
        <v>14</v>
      </c>
      <c r="BJ64" s="13">
        <f>'[2]Oct-Dec''25'!BL64+'[2]Apr-Sep''25'!BL64</f>
        <v>14</v>
      </c>
      <c r="BK64" s="15">
        <f t="shared" si="106"/>
        <v>1</v>
      </c>
      <c r="BL64" s="13">
        <f>'[2]Oct-Dec''25'!BN64+'[2]Apr-Sep''25'!BN64</f>
        <v>9</v>
      </c>
      <c r="BM64" s="13">
        <f>'[2]Oct-Dec''25'!BO64+'[2]Apr-Sep''25'!BO64</f>
        <v>9</v>
      </c>
      <c r="BN64" s="15">
        <f t="shared" si="107"/>
        <v>1</v>
      </c>
      <c r="BO64" s="13">
        <f>'[2]Oct-Dec''25'!BQ64+'[2]Apr-Sep''25'!BQ64</f>
        <v>20</v>
      </c>
      <c r="BP64" s="13">
        <f>'[2]Oct-Dec''25'!BR64+'[2]Apr-Sep''25'!BR64</f>
        <v>11</v>
      </c>
      <c r="BQ64" s="15">
        <f t="shared" si="108"/>
        <v>0.55000000000000004</v>
      </c>
      <c r="BR64" s="13">
        <f>'[2]Oct-Dec''25'!BT64+'[2]Apr-Sep''25'!BT64</f>
        <v>17</v>
      </c>
      <c r="BS64" s="13">
        <f>'[2]Oct-Dec''25'!BU64+'[2]Apr-Sep''25'!BU64</f>
        <v>11</v>
      </c>
      <c r="BT64" s="14">
        <f t="shared" si="109"/>
        <v>0.6470588235294118</v>
      </c>
      <c r="BU64" s="13">
        <f>'[2]Oct-Dec''25'!BW64+'[2]Apr-Sep''25'!BW64</f>
        <v>0</v>
      </c>
      <c r="BV64" s="13">
        <f>'[2]Oct-Dec''25'!BX64+'[2]Apr-Sep''25'!BX64</f>
        <v>0</v>
      </c>
      <c r="BW64" s="14">
        <f t="shared" si="110"/>
        <v>0</v>
      </c>
      <c r="BX64" s="13">
        <f>'[2]Oct-Dec''25'!BZ64+'[2]Apr-Sep''25'!BZ64</f>
        <v>283</v>
      </c>
      <c r="BY64" s="13">
        <f>'[2]Oct-Dec''25'!CA64+'[2]Apr-Sep''25'!CA64</f>
        <v>261</v>
      </c>
      <c r="BZ64" s="14">
        <f t="shared" si="111"/>
        <v>0.92226148409893993</v>
      </c>
      <c r="CA64" s="13">
        <f>'[2]Oct-Dec''25'!CC64+'[2]Apr-Sep''25'!CC64</f>
        <v>171</v>
      </c>
      <c r="CB64" s="13">
        <f>'[2]Oct-Dec''25'!CD64+'[2]Apr-Sep''25'!CD64</f>
        <v>107</v>
      </c>
      <c r="CC64" s="14">
        <f t="shared" si="112"/>
        <v>0.6257309941520468</v>
      </c>
      <c r="CD64" s="13">
        <f>'[2]Oct-Dec''25'!CF64+'[2]Apr-Sep''25'!CF64</f>
        <v>0</v>
      </c>
      <c r="CE64" s="13">
        <f>'[2]Oct-Dec''25'!CG64+'[2]Apr-Sep''25'!CG64</f>
        <v>0</v>
      </c>
      <c r="CF64" s="14">
        <f t="shared" si="113"/>
        <v>0</v>
      </c>
    </row>
    <row r="65" spans="1:84" x14ac:dyDescent="0.25">
      <c r="A65" s="12">
        <f>'[2]Oct-Dec''25'!A65</f>
        <v>59</v>
      </c>
      <c r="B65" s="12" t="str">
        <f>'[2]Oct-Dec''25'!B65</f>
        <v>UPNP+</v>
      </c>
      <c r="C65" s="1" t="str">
        <f>'[2]Oct-Dec''25'!C65</f>
        <v>Uttar Pradesh</v>
      </c>
      <c r="D65" s="3" t="str">
        <f>'[2]Oct-Dec''25'!D65</f>
        <v>SHARNAM SANSTHAN</v>
      </c>
      <c r="E65" s="1" t="str">
        <f>'[2]Oct-Dec''25'!E65</f>
        <v>LUCKNOW</v>
      </c>
      <c r="F65" s="12" t="s">
        <v>85</v>
      </c>
      <c r="G65" s="13">
        <f>'[2]Oct-Dec''25'!H65+'[2]Apr-Sep''25'!H65</f>
        <v>1702</v>
      </c>
      <c r="H65" s="13">
        <f>'[2]Oct-Dec''25'!I65+'[2]Apr-Sep''25'!I65</f>
        <v>1367</v>
      </c>
      <c r="I65" s="7">
        <f t="shared" si="87"/>
        <v>0.80317273795534661</v>
      </c>
      <c r="J65" s="13">
        <f>'[2]Oct-Dec''25'!K65+'[2]Apr-Sep''25'!K65</f>
        <v>0</v>
      </c>
      <c r="K65" s="13">
        <f>'[2]Oct-Dec''25'!L65+'[2]Apr-Sep''25'!L65</f>
        <v>2</v>
      </c>
      <c r="L65" s="7"/>
      <c r="M65" s="13">
        <f>'[2]Oct-Dec''25'!N65+'[2]Apr-Sep''25'!N65</f>
        <v>1519</v>
      </c>
      <c r="N65" s="13">
        <f>'[2]Oct-Dec''25'!O65+'[2]Apr-Sep''25'!O65</f>
        <v>1519</v>
      </c>
      <c r="O65" s="8">
        <f t="shared" si="88"/>
        <v>1</v>
      </c>
      <c r="P65" s="13">
        <f>'[2]Oct-Dec''25'!Q65+'[2]Apr-Sep''25'!Q65</f>
        <v>1182</v>
      </c>
      <c r="Q65" s="13">
        <f>'[2]Oct-Dec''25'!R65+'[2]Apr-Sep''25'!R65</f>
        <v>933</v>
      </c>
      <c r="R65" s="8">
        <f t="shared" si="89"/>
        <v>0.78934010152284262</v>
      </c>
      <c r="S65" s="13">
        <f>'[2]Oct-Dec''25'!T65+'[2]Apr-Sep''25'!T65</f>
        <v>3704</v>
      </c>
      <c r="T65" s="13">
        <f>'[2]Oct-Dec''25'!U65+'[2]Apr-Sep''25'!U65</f>
        <v>2983</v>
      </c>
      <c r="U65" s="8">
        <f t="shared" si="90"/>
        <v>0.80534557235421167</v>
      </c>
      <c r="V65" s="13">
        <f>'[2]Oct-Dec''25'!W65+'[2]Apr-Sep''25'!W65</f>
        <v>1420</v>
      </c>
      <c r="W65" s="13">
        <f>'[2]Oct-Dec''25'!Y65+'[2]Apr-Sep''25'!Y65</f>
        <v>625</v>
      </c>
      <c r="X65" s="8">
        <f t="shared" si="91"/>
        <v>0.44014084507042256</v>
      </c>
      <c r="Y65" s="13">
        <f>'[2]Oct-Dec''25'!AA65+'[2]Apr-Sep''25'!AA65</f>
        <v>680</v>
      </c>
      <c r="Z65" s="13">
        <f>'[2]Oct-Dec''25'!AB65+'[2]Apr-Sep''25'!AB65</f>
        <v>680</v>
      </c>
      <c r="AA65" s="8">
        <f t="shared" si="92"/>
        <v>1</v>
      </c>
      <c r="AB65" s="13">
        <f>'[2]Oct-Dec''25'!AD65+'[2]Apr-Sep''25'!AD65</f>
        <v>624</v>
      </c>
      <c r="AC65" s="13">
        <f>'[2]Oct-Dec''25'!AE65+'[2]Apr-Sep''25'!AE65</f>
        <v>526</v>
      </c>
      <c r="AD65" s="8">
        <f t="shared" si="93"/>
        <v>0.84294871794871795</v>
      </c>
      <c r="AE65" s="13">
        <f>'[2]Oct-Dec''25'!AJ65+'[2]Apr-Sep''25'!AJ65</f>
        <v>1744</v>
      </c>
      <c r="AF65" s="13">
        <f>'[2]Oct-Dec''25'!AK65+'[2]Apr-Sep''25'!AK65</f>
        <v>1718</v>
      </c>
      <c r="AG65" s="8">
        <f t="shared" si="94"/>
        <v>0.98509174311926606</v>
      </c>
      <c r="AH65" s="13">
        <f>'[2]Oct-Dec''25'!AM65+'[2]Apr-Sep''25'!AM65</f>
        <v>29</v>
      </c>
      <c r="AI65" s="13">
        <f>'[2]Oct-Dec''25'!AN65+'[2]Apr-Sep''25'!AN65</f>
        <v>29</v>
      </c>
      <c r="AJ65" s="8">
        <f t="shared" si="95"/>
        <v>1</v>
      </c>
      <c r="AK65" s="13">
        <f>'[2]Oct-Dec''25'!AP65+'[2]Apr-Sep''25'!AP65</f>
        <v>132</v>
      </c>
      <c r="AL65" s="13">
        <f>'[2]Oct-Dec''25'!AQ65+'[2]Apr-Sep''25'!AQ65</f>
        <v>127</v>
      </c>
      <c r="AM65" s="8">
        <f t="shared" si="96"/>
        <v>0.96212121212121215</v>
      </c>
      <c r="AN65" s="13">
        <f>'[2]Oct-Dec''25'!AS65+'[2]Apr-Sep''25'!AS65</f>
        <v>163</v>
      </c>
      <c r="AO65" s="13">
        <f>'[2]Oct-Dec''25'!AT65+'[2]Apr-Sep''25'!AT65</f>
        <v>160</v>
      </c>
      <c r="AP65" s="8">
        <f t="shared" si="97"/>
        <v>0.98159509202453987</v>
      </c>
      <c r="AQ65" s="13">
        <f>'[2]Oct-Dec''25'!AV65+'[2]Apr-Sep''25'!AV65</f>
        <v>0</v>
      </c>
      <c r="AR65" s="13">
        <f>'[2]Oct-Dec''25'!AW65+'[2]Apr-Sep''25'!AW65</f>
        <v>0</v>
      </c>
      <c r="AS65" s="8" t="e">
        <f t="shared" si="98"/>
        <v>#DIV/0!</v>
      </c>
      <c r="AT65" s="13">
        <f>'[2]Oct-Dec''25'!AY65+'[2]Apr-Sep''25'!AY65</f>
        <v>120</v>
      </c>
      <c r="AU65" s="13">
        <f>'[2]Oct-Dec''25'!AZ65+'[2]Apr-Sep''25'!AZ65</f>
        <v>120</v>
      </c>
      <c r="AV65" s="8">
        <f t="shared" si="99"/>
        <v>1</v>
      </c>
      <c r="AW65" s="9">
        <f t="shared" si="100"/>
        <v>283</v>
      </c>
      <c r="AX65" s="9">
        <f t="shared" si="101"/>
        <v>280</v>
      </c>
      <c r="AY65" s="8">
        <f t="shared" si="102"/>
        <v>0.98939929328621912</v>
      </c>
      <c r="AZ65" s="13">
        <f>'[2]Oct-Dec''25'!BB65+'[2]Apr-Sep''25'!BB65</f>
        <v>83</v>
      </c>
      <c r="BA65" s="13">
        <f>'[2]Oct-Dec''25'!BC65+'[2]Apr-Sep''25'!BC65</f>
        <v>367</v>
      </c>
      <c r="BB65" s="14">
        <f t="shared" si="103"/>
        <v>4.4216867469879517</v>
      </c>
      <c r="BC65" s="13">
        <f>'[2]Oct-Dec''25'!BE65+'[2]Apr-Sep''25'!BE65</f>
        <v>62</v>
      </c>
      <c r="BD65" s="13">
        <f>'[2]Oct-Dec''25'!BF65+'[2]Apr-Sep''25'!BF65</f>
        <v>62</v>
      </c>
      <c r="BE65" s="14">
        <f t="shared" si="104"/>
        <v>1</v>
      </c>
      <c r="BF65" s="13">
        <f>'[2]Oct-Dec''25'!BH65+'[2]Apr-Sep''25'!BH65</f>
        <v>43</v>
      </c>
      <c r="BG65" s="13">
        <f>'[2]Oct-Dec''25'!BI65+'[2]Apr-Sep''25'!BI65</f>
        <v>43</v>
      </c>
      <c r="BH65" s="14">
        <f t="shared" si="105"/>
        <v>1</v>
      </c>
      <c r="BI65" s="13">
        <f>'[2]Oct-Dec''25'!BK65+'[2]Apr-Sep''25'!BK65</f>
        <v>42</v>
      </c>
      <c r="BJ65" s="13">
        <f>'[2]Oct-Dec''25'!BL65+'[2]Apr-Sep''25'!BL65</f>
        <v>41</v>
      </c>
      <c r="BK65" s="15">
        <f t="shared" si="106"/>
        <v>0.97619047619047616</v>
      </c>
      <c r="BL65" s="13">
        <f>'[2]Oct-Dec''25'!BN65+'[2]Apr-Sep''25'!BN65</f>
        <v>18</v>
      </c>
      <c r="BM65" s="13">
        <f>'[2]Oct-Dec''25'!BO65+'[2]Apr-Sep''25'!BO65</f>
        <v>14</v>
      </c>
      <c r="BN65" s="15">
        <f t="shared" si="107"/>
        <v>0.77777777777777779</v>
      </c>
      <c r="BO65" s="13">
        <f>'[2]Oct-Dec''25'!BQ65+'[2]Apr-Sep''25'!BQ65</f>
        <v>15</v>
      </c>
      <c r="BP65" s="13">
        <f>'[2]Oct-Dec''25'!BR65+'[2]Apr-Sep''25'!BR65</f>
        <v>14</v>
      </c>
      <c r="BQ65" s="15">
        <f t="shared" si="108"/>
        <v>0.93333333333333335</v>
      </c>
      <c r="BR65" s="13">
        <f>'[2]Oct-Dec''25'!BT65+'[2]Apr-Sep''25'!BT65</f>
        <v>7</v>
      </c>
      <c r="BS65" s="13">
        <f>'[2]Oct-Dec''25'!BU65+'[2]Apr-Sep''25'!BU65</f>
        <v>7</v>
      </c>
      <c r="BT65" s="14">
        <f t="shared" si="109"/>
        <v>1</v>
      </c>
      <c r="BU65" s="13">
        <f>'[2]Oct-Dec''25'!BW65+'[2]Apr-Sep''25'!BW65</f>
        <v>0</v>
      </c>
      <c r="BV65" s="13">
        <f>'[2]Oct-Dec''25'!BX65+'[2]Apr-Sep''25'!BX65</f>
        <v>0</v>
      </c>
      <c r="BW65" s="14">
        <f t="shared" si="110"/>
        <v>0</v>
      </c>
      <c r="BX65" s="13">
        <f>'[2]Oct-Dec''25'!BZ65+'[2]Apr-Sep''25'!BZ65</f>
        <v>1367</v>
      </c>
      <c r="BY65" s="13">
        <f>'[2]Oct-Dec''25'!CA65+'[2]Apr-Sep''25'!CA65</f>
        <v>1367</v>
      </c>
      <c r="BZ65" s="14">
        <f t="shared" si="111"/>
        <v>1</v>
      </c>
      <c r="CA65" s="13">
        <f>'[2]Oct-Dec''25'!CC65+'[2]Apr-Sep''25'!CC65</f>
        <v>1490</v>
      </c>
      <c r="CB65" s="13">
        <f>'[2]Oct-Dec''25'!CD65+'[2]Apr-Sep''25'!CD65</f>
        <v>1640</v>
      </c>
      <c r="CC65" s="14">
        <f t="shared" si="112"/>
        <v>1.1006711409395973</v>
      </c>
      <c r="CD65" s="13">
        <f>'[2]Oct-Dec''25'!CF65+'[2]Apr-Sep''25'!CF65</f>
        <v>40</v>
      </c>
      <c r="CE65" s="13">
        <f>'[2]Oct-Dec''25'!CG65+'[2]Apr-Sep''25'!CG65</f>
        <v>40</v>
      </c>
      <c r="CF65" s="14">
        <f t="shared" si="113"/>
        <v>1</v>
      </c>
    </row>
    <row r="66" spans="1:84" ht="36" x14ac:dyDescent="0.25">
      <c r="A66" s="12">
        <f>'[2]Oct-Dec''25'!A66</f>
        <v>60</v>
      </c>
      <c r="B66" s="12" t="str">
        <f>'[2]Oct-Dec''25'!B66</f>
        <v>UPNP+</v>
      </c>
      <c r="C66" s="1" t="str">
        <f>'[2]Oct-Dec''25'!C66</f>
        <v>Uttar Pradesh</v>
      </c>
      <c r="D66" s="3" t="str">
        <f>'[2]Oct-Dec''25'!D66</f>
        <v>BAREILLY POSITIVE PEOPLE WELFARE SOCIETY</v>
      </c>
      <c r="E66" s="1" t="str">
        <f>'[2]Oct-Dec''25'!E66</f>
        <v>MEERUT</v>
      </c>
      <c r="F66" s="12" t="s">
        <v>85</v>
      </c>
      <c r="G66" s="13">
        <f>'[2]Oct-Dec''25'!H66+'[2]Apr-Sep''25'!H66</f>
        <v>1402</v>
      </c>
      <c r="H66" s="13">
        <f>'[2]Oct-Dec''25'!I66+'[2]Apr-Sep''25'!I66</f>
        <v>821</v>
      </c>
      <c r="I66" s="7">
        <f t="shared" si="87"/>
        <v>0.58559201141226824</v>
      </c>
      <c r="J66" s="13">
        <f>'[2]Oct-Dec''25'!K66+'[2]Apr-Sep''25'!K66</f>
        <v>14</v>
      </c>
      <c r="K66" s="13">
        <f>'[2]Oct-Dec''25'!L66+'[2]Apr-Sep''25'!L66</f>
        <v>3</v>
      </c>
      <c r="L66" s="7">
        <f>K66/J66</f>
        <v>0.21428571428571427</v>
      </c>
      <c r="M66" s="13">
        <f>'[2]Oct-Dec''25'!N66+'[2]Apr-Sep''25'!N66</f>
        <v>1208</v>
      </c>
      <c r="N66" s="13">
        <f>'[2]Oct-Dec''25'!O66+'[2]Apr-Sep''25'!O66</f>
        <v>1208</v>
      </c>
      <c r="O66" s="8">
        <f t="shared" si="88"/>
        <v>1</v>
      </c>
      <c r="P66" s="13">
        <f>'[2]Oct-Dec''25'!Q66+'[2]Apr-Sep''25'!Q66</f>
        <v>1039</v>
      </c>
      <c r="Q66" s="13">
        <f>'[2]Oct-Dec''25'!R66+'[2]Apr-Sep''25'!R66</f>
        <v>874</v>
      </c>
      <c r="R66" s="8">
        <f t="shared" si="89"/>
        <v>0.84119345524542832</v>
      </c>
      <c r="S66" s="13">
        <f>'[2]Oct-Dec''25'!T66+'[2]Apr-Sep''25'!T66</f>
        <v>3424</v>
      </c>
      <c r="T66" s="13">
        <f>'[2]Oct-Dec''25'!U66+'[2]Apr-Sep''25'!U66</f>
        <v>3261</v>
      </c>
      <c r="U66" s="8">
        <f t="shared" si="90"/>
        <v>0.95239485981308414</v>
      </c>
      <c r="V66" s="13">
        <f>'[2]Oct-Dec''25'!W66+'[2]Apr-Sep''25'!W66</f>
        <v>1161</v>
      </c>
      <c r="W66" s="13">
        <f>'[2]Oct-Dec''25'!Y66+'[2]Apr-Sep''25'!Y66</f>
        <v>669</v>
      </c>
      <c r="X66" s="8">
        <f t="shared" si="91"/>
        <v>0.57622739018087854</v>
      </c>
      <c r="Y66" s="13">
        <f>'[2]Oct-Dec''25'!AA66+'[2]Apr-Sep''25'!AA66</f>
        <v>705</v>
      </c>
      <c r="Z66" s="13">
        <f>'[2]Oct-Dec''25'!AB66+'[2]Apr-Sep''25'!AB66</f>
        <v>705</v>
      </c>
      <c r="AA66" s="8">
        <f t="shared" si="92"/>
        <v>1</v>
      </c>
      <c r="AB66" s="13">
        <f>'[2]Oct-Dec''25'!AD66+'[2]Apr-Sep''25'!AD66</f>
        <v>579</v>
      </c>
      <c r="AC66" s="13">
        <f>'[2]Oct-Dec''25'!AE66+'[2]Apr-Sep''25'!AE66</f>
        <v>561</v>
      </c>
      <c r="AD66" s="8">
        <f t="shared" si="93"/>
        <v>0.9689119170984456</v>
      </c>
      <c r="AE66" s="13">
        <f>'[2]Oct-Dec''25'!AJ66+'[2]Apr-Sep''25'!AJ66</f>
        <v>1163</v>
      </c>
      <c r="AF66" s="13">
        <f>'[2]Oct-Dec''25'!AK66+'[2]Apr-Sep''25'!AK66</f>
        <v>1142</v>
      </c>
      <c r="AG66" s="8">
        <f t="shared" si="94"/>
        <v>0.98194325021496132</v>
      </c>
      <c r="AH66" s="13">
        <f>'[2]Oct-Dec''25'!AM66+'[2]Apr-Sep''25'!AM66</f>
        <v>24</v>
      </c>
      <c r="AI66" s="13">
        <f>'[2]Oct-Dec''25'!AN66+'[2]Apr-Sep''25'!AN66</f>
        <v>24</v>
      </c>
      <c r="AJ66" s="8">
        <f t="shared" si="95"/>
        <v>1</v>
      </c>
      <c r="AK66" s="13">
        <f>'[2]Oct-Dec''25'!AP66+'[2]Apr-Sep''25'!AP66</f>
        <v>209</v>
      </c>
      <c r="AL66" s="13">
        <f>'[2]Oct-Dec''25'!AQ66+'[2]Apr-Sep''25'!AQ66</f>
        <v>147</v>
      </c>
      <c r="AM66" s="8">
        <f t="shared" si="96"/>
        <v>0.70334928229665072</v>
      </c>
      <c r="AN66" s="13">
        <f>'[2]Oct-Dec''25'!AS66+'[2]Apr-Sep''25'!AS66</f>
        <v>22</v>
      </c>
      <c r="AO66" s="13">
        <f>'[2]Oct-Dec''25'!AT66+'[2]Apr-Sep''25'!AT66</f>
        <v>23</v>
      </c>
      <c r="AP66" s="8">
        <f t="shared" si="97"/>
        <v>1.0454545454545454</v>
      </c>
      <c r="AQ66" s="13">
        <f>'[2]Oct-Dec''25'!AV66+'[2]Apr-Sep''25'!AV66</f>
        <v>0</v>
      </c>
      <c r="AR66" s="13">
        <f>'[2]Oct-Dec''25'!AW66+'[2]Apr-Sep''25'!AW66</f>
        <v>0</v>
      </c>
      <c r="AS66" s="8" t="e">
        <f t="shared" si="98"/>
        <v>#DIV/0!</v>
      </c>
      <c r="AT66" s="13">
        <f>'[2]Oct-Dec''25'!AY66+'[2]Apr-Sep''25'!AY66</f>
        <v>19</v>
      </c>
      <c r="AU66" s="13">
        <f>'[2]Oct-Dec''25'!AZ66+'[2]Apr-Sep''25'!AZ66</f>
        <v>25</v>
      </c>
      <c r="AV66" s="8">
        <f t="shared" si="99"/>
        <v>1.3157894736842106</v>
      </c>
      <c r="AW66" s="9">
        <f t="shared" si="100"/>
        <v>41</v>
      </c>
      <c r="AX66" s="9">
        <f t="shared" si="101"/>
        <v>48</v>
      </c>
      <c r="AY66" s="8">
        <f t="shared" si="102"/>
        <v>1.1707317073170731</v>
      </c>
      <c r="AZ66" s="13">
        <f>'[2]Oct-Dec''25'!BB66+'[2]Apr-Sep''25'!BB66</f>
        <v>198</v>
      </c>
      <c r="BA66" s="13">
        <f>'[2]Oct-Dec''25'!BC66+'[2]Apr-Sep''25'!BC66</f>
        <v>258</v>
      </c>
      <c r="BB66" s="14">
        <f t="shared" si="103"/>
        <v>1.303030303030303</v>
      </c>
      <c r="BC66" s="13">
        <f>'[2]Oct-Dec''25'!BE66+'[2]Apr-Sep''25'!BE66</f>
        <v>66</v>
      </c>
      <c r="BD66" s="13">
        <f>'[2]Oct-Dec''25'!BF66+'[2]Apr-Sep''25'!BF66</f>
        <v>66</v>
      </c>
      <c r="BE66" s="14">
        <f t="shared" si="104"/>
        <v>1</v>
      </c>
      <c r="BF66" s="13">
        <f>'[2]Oct-Dec''25'!BH66+'[2]Apr-Sep''25'!BH66</f>
        <v>133</v>
      </c>
      <c r="BG66" s="13">
        <f>'[2]Oct-Dec''25'!BI66+'[2]Apr-Sep''25'!BI66</f>
        <v>131</v>
      </c>
      <c r="BH66" s="14">
        <f t="shared" si="105"/>
        <v>0.98496240601503759</v>
      </c>
      <c r="BI66" s="13">
        <f>'[2]Oct-Dec''25'!BK66+'[2]Apr-Sep''25'!BK66</f>
        <v>28</v>
      </c>
      <c r="BJ66" s="13">
        <f>'[2]Oct-Dec''25'!BL66+'[2]Apr-Sep''25'!BL66</f>
        <v>28</v>
      </c>
      <c r="BK66" s="15">
        <f t="shared" si="106"/>
        <v>1</v>
      </c>
      <c r="BL66" s="13">
        <f>'[2]Oct-Dec''25'!BN66+'[2]Apr-Sep''25'!BN66</f>
        <v>13</v>
      </c>
      <c r="BM66" s="13">
        <f>'[2]Oct-Dec''25'!BO66+'[2]Apr-Sep''25'!BO66</f>
        <v>13</v>
      </c>
      <c r="BN66" s="15">
        <f t="shared" si="107"/>
        <v>1</v>
      </c>
      <c r="BO66" s="13">
        <f>'[2]Oct-Dec''25'!BQ66+'[2]Apr-Sep''25'!BQ66</f>
        <v>6</v>
      </c>
      <c r="BP66" s="13">
        <f>'[2]Oct-Dec''25'!BR66+'[2]Apr-Sep''25'!BR66</f>
        <v>4</v>
      </c>
      <c r="BQ66" s="15">
        <f t="shared" si="108"/>
        <v>0.66666666666666663</v>
      </c>
      <c r="BR66" s="13">
        <f>'[2]Oct-Dec''25'!BT66+'[2]Apr-Sep''25'!BT66</f>
        <v>2</v>
      </c>
      <c r="BS66" s="13">
        <f>'[2]Oct-Dec''25'!BU66+'[2]Apr-Sep''25'!BU66</f>
        <v>1</v>
      </c>
      <c r="BT66" s="14">
        <f t="shared" si="109"/>
        <v>0.5</v>
      </c>
      <c r="BU66" s="13">
        <f>'[2]Oct-Dec''25'!BW66+'[2]Apr-Sep''25'!BW66</f>
        <v>1</v>
      </c>
      <c r="BV66" s="13">
        <f>'[2]Oct-Dec''25'!BX66+'[2]Apr-Sep''25'!BX66</f>
        <v>1</v>
      </c>
      <c r="BW66" s="14">
        <f t="shared" si="110"/>
        <v>1</v>
      </c>
      <c r="BX66" s="13">
        <f>'[2]Oct-Dec''25'!BZ66+'[2]Apr-Sep''25'!BZ66</f>
        <v>821</v>
      </c>
      <c r="BY66" s="13">
        <f>'[2]Oct-Dec''25'!CA66+'[2]Apr-Sep''25'!CA66</f>
        <v>823</v>
      </c>
      <c r="BZ66" s="14">
        <f t="shared" si="111"/>
        <v>1.0024360535931791</v>
      </c>
      <c r="CA66" s="13">
        <f>'[2]Oct-Dec''25'!CC66+'[2]Apr-Sep''25'!CC66</f>
        <v>1073</v>
      </c>
      <c r="CB66" s="13">
        <f>'[2]Oct-Dec''25'!CD66+'[2]Apr-Sep''25'!CD66</f>
        <v>1016</v>
      </c>
      <c r="CC66" s="14">
        <f t="shared" si="112"/>
        <v>0.94687791239515373</v>
      </c>
      <c r="CD66" s="13">
        <f>'[2]Oct-Dec''25'!CF66+'[2]Apr-Sep''25'!CF66</f>
        <v>2</v>
      </c>
      <c r="CE66" s="13">
        <f>'[2]Oct-Dec''25'!CG66+'[2]Apr-Sep''25'!CG66</f>
        <v>2</v>
      </c>
      <c r="CF66" s="14">
        <f t="shared" si="113"/>
        <v>1</v>
      </c>
    </row>
    <row r="67" spans="1:84" ht="60" x14ac:dyDescent="0.25">
      <c r="A67" s="12">
        <f>'[2]Oct-Dec''25'!A67</f>
        <v>61</v>
      </c>
      <c r="B67" s="12" t="str">
        <f>'[2]Oct-Dec''25'!B67</f>
        <v>UPNP+</v>
      </c>
      <c r="C67" s="1" t="str">
        <f>'[2]Oct-Dec''25'!C67</f>
        <v>Uttar Pradesh</v>
      </c>
      <c r="D67" s="3" t="str">
        <f>'[2]Oct-Dec''25'!D67</f>
        <v>PRATAPGARH NETWORK FOR PEOPLE LIVING WITH HIV/AIDS SOCIETY (PNP PLUS)</v>
      </c>
      <c r="E67" s="1" t="str">
        <f>'[2]Oct-Dec''25'!E67</f>
        <v>PRATAPGARH</v>
      </c>
      <c r="F67" s="12" t="s">
        <v>85</v>
      </c>
      <c r="G67" s="13">
        <f>'[2]Oct-Dec''25'!H67+'[2]Apr-Sep''25'!H67</f>
        <v>270</v>
      </c>
      <c r="H67" s="13">
        <f>'[2]Oct-Dec''25'!I67+'[2]Apr-Sep''25'!I67</f>
        <v>267</v>
      </c>
      <c r="I67" s="7">
        <f t="shared" si="87"/>
        <v>0.98888888888888893</v>
      </c>
      <c r="J67" s="13">
        <f>'[2]Oct-Dec''25'!K67+'[2]Apr-Sep''25'!K67</f>
        <v>9</v>
      </c>
      <c r="K67" s="13">
        <f>'[2]Oct-Dec''25'!L67+'[2]Apr-Sep''25'!L67</f>
        <v>6</v>
      </c>
      <c r="L67" s="7">
        <f>K67/J67</f>
        <v>0.66666666666666663</v>
      </c>
      <c r="M67" s="13">
        <f>'[2]Oct-Dec''25'!N67+'[2]Apr-Sep''25'!N67</f>
        <v>223</v>
      </c>
      <c r="N67" s="13">
        <f>'[2]Oct-Dec''25'!O67+'[2]Apr-Sep''25'!O67</f>
        <v>223</v>
      </c>
      <c r="O67" s="8">
        <f t="shared" si="88"/>
        <v>1</v>
      </c>
      <c r="P67" s="13">
        <f>'[2]Oct-Dec''25'!Q67+'[2]Apr-Sep''25'!Q67</f>
        <v>188</v>
      </c>
      <c r="Q67" s="13">
        <f>'[2]Oct-Dec''25'!R67+'[2]Apr-Sep''25'!R67</f>
        <v>154</v>
      </c>
      <c r="R67" s="8">
        <f t="shared" si="89"/>
        <v>0.81914893617021278</v>
      </c>
      <c r="S67" s="13">
        <f>'[2]Oct-Dec''25'!T67+'[2]Apr-Sep''25'!T67</f>
        <v>806</v>
      </c>
      <c r="T67" s="13">
        <f>'[2]Oct-Dec''25'!U67+'[2]Apr-Sep''25'!U67</f>
        <v>705</v>
      </c>
      <c r="U67" s="8">
        <f t="shared" si="90"/>
        <v>0.87468982630272951</v>
      </c>
      <c r="V67" s="13">
        <f>'[2]Oct-Dec''25'!W67+'[2]Apr-Sep''25'!W67</f>
        <v>134</v>
      </c>
      <c r="W67" s="13">
        <f>'[2]Oct-Dec''25'!Y67+'[2]Apr-Sep''25'!Y67</f>
        <v>99</v>
      </c>
      <c r="X67" s="8">
        <f t="shared" si="91"/>
        <v>0.73880597014925375</v>
      </c>
      <c r="Y67" s="13">
        <f>'[2]Oct-Dec''25'!AA67+'[2]Apr-Sep''25'!AA67</f>
        <v>109</v>
      </c>
      <c r="Z67" s="13">
        <f>'[2]Oct-Dec''25'!AB67+'[2]Apr-Sep''25'!AB67</f>
        <v>109</v>
      </c>
      <c r="AA67" s="8">
        <f t="shared" si="92"/>
        <v>1</v>
      </c>
      <c r="AB67" s="13">
        <f>'[2]Oct-Dec''25'!AD67+'[2]Apr-Sep''25'!AD67</f>
        <v>122</v>
      </c>
      <c r="AC67" s="13">
        <f>'[2]Oct-Dec''25'!AE67+'[2]Apr-Sep''25'!AE67</f>
        <v>103</v>
      </c>
      <c r="AD67" s="8">
        <f t="shared" si="93"/>
        <v>0.84426229508196726</v>
      </c>
      <c r="AE67" s="13">
        <f>'[2]Oct-Dec''25'!AJ67+'[2]Apr-Sep''25'!AJ67</f>
        <v>343</v>
      </c>
      <c r="AF67" s="13">
        <f>'[2]Oct-Dec''25'!AK67+'[2]Apr-Sep''25'!AK67</f>
        <v>304</v>
      </c>
      <c r="AG67" s="8">
        <f t="shared" si="94"/>
        <v>0.88629737609329451</v>
      </c>
      <c r="AH67" s="13">
        <f>'[2]Oct-Dec''25'!AM67+'[2]Apr-Sep''25'!AM67</f>
        <v>0</v>
      </c>
      <c r="AI67" s="13">
        <f>'[2]Oct-Dec''25'!AN67+'[2]Apr-Sep''25'!AN67</f>
        <v>0</v>
      </c>
      <c r="AJ67" s="8" t="e">
        <f t="shared" si="95"/>
        <v>#DIV/0!</v>
      </c>
      <c r="AK67" s="13">
        <f>'[2]Oct-Dec''25'!AP67+'[2]Apr-Sep''25'!AP67</f>
        <v>100</v>
      </c>
      <c r="AL67" s="13">
        <f>'[2]Oct-Dec''25'!AQ67+'[2]Apr-Sep''25'!AQ67</f>
        <v>120</v>
      </c>
      <c r="AM67" s="8">
        <f t="shared" si="96"/>
        <v>1.2</v>
      </c>
      <c r="AN67" s="13">
        <f>'[2]Oct-Dec''25'!AS67+'[2]Apr-Sep''25'!AS67</f>
        <v>72</v>
      </c>
      <c r="AO67" s="13">
        <f>'[2]Oct-Dec''25'!AT67+'[2]Apr-Sep''25'!AT67</f>
        <v>43</v>
      </c>
      <c r="AP67" s="8">
        <f t="shared" si="97"/>
        <v>0.59722222222222221</v>
      </c>
      <c r="AQ67" s="13">
        <f>'[2]Oct-Dec''25'!AV67+'[2]Apr-Sep''25'!AV67</f>
        <v>0</v>
      </c>
      <c r="AR67" s="13">
        <f>'[2]Oct-Dec''25'!AW67+'[2]Apr-Sep''25'!AW67</f>
        <v>0</v>
      </c>
      <c r="AS67" s="8" t="e">
        <f t="shared" si="98"/>
        <v>#DIV/0!</v>
      </c>
      <c r="AT67" s="13">
        <f>'[2]Oct-Dec''25'!AY67+'[2]Apr-Sep''25'!AY67</f>
        <v>91</v>
      </c>
      <c r="AU67" s="13">
        <f>'[2]Oct-Dec''25'!AZ67+'[2]Apr-Sep''25'!AZ67</f>
        <v>76</v>
      </c>
      <c r="AV67" s="8">
        <f t="shared" si="99"/>
        <v>0.8351648351648352</v>
      </c>
      <c r="AW67" s="9">
        <f t="shared" si="100"/>
        <v>163</v>
      </c>
      <c r="AX67" s="9">
        <f t="shared" si="101"/>
        <v>119</v>
      </c>
      <c r="AY67" s="8">
        <f t="shared" si="102"/>
        <v>0.73006134969325154</v>
      </c>
      <c r="AZ67" s="13">
        <f>'[2]Oct-Dec''25'!BB67+'[2]Apr-Sep''25'!BB67</f>
        <v>43</v>
      </c>
      <c r="BA67" s="13">
        <f>'[2]Oct-Dec''25'!BC67+'[2]Apr-Sep''25'!BC67</f>
        <v>41</v>
      </c>
      <c r="BB67" s="14">
        <f t="shared" si="103"/>
        <v>0.95348837209302328</v>
      </c>
      <c r="BC67" s="13">
        <f>'[2]Oct-Dec''25'!BE67+'[2]Apr-Sep''25'!BE67</f>
        <v>9</v>
      </c>
      <c r="BD67" s="13">
        <f>'[2]Oct-Dec''25'!BF67+'[2]Apr-Sep''25'!BF67</f>
        <v>9</v>
      </c>
      <c r="BE67" s="14">
        <f t="shared" si="104"/>
        <v>1</v>
      </c>
      <c r="BF67" s="13">
        <f>'[2]Oct-Dec''25'!BH67+'[2]Apr-Sep''25'!BH67</f>
        <v>13</v>
      </c>
      <c r="BG67" s="13">
        <f>'[2]Oct-Dec''25'!BI67+'[2]Apr-Sep''25'!BI67</f>
        <v>13</v>
      </c>
      <c r="BH67" s="14">
        <f t="shared" si="105"/>
        <v>1</v>
      </c>
      <c r="BI67" s="13">
        <f>'[2]Oct-Dec''25'!BK67+'[2]Apr-Sep''25'!BK67</f>
        <v>17</v>
      </c>
      <c r="BJ67" s="13">
        <f>'[2]Oct-Dec''25'!BL67+'[2]Apr-Sep''25'!BL67</f>
        <v>12</v>
      </c>
      <c r="BK67" s="15">
        <f t="shared" si="106"/>
        <v>0.70588235294117652</v>
      </c>
      <c r="BL67" s="13">
        <f>'[2]Oct-Dec''25'!BN67+'[2]Apr-Sep''25'!BN67</f>
        <v>13</v>
      </c>
      <c r="BM67" s="13">
        <f>'[2]Oct-Dec''25'!BO67+'[2]Apr-Sep''25'!BO67</f>
        <v>12</v>
      </c>
      <c r="BN67" s="15">
        <f t="shared" si="107"/>
        <v>0.92307692307692313</v>
      </c>
      <c r="BO67" s="13">
        <f>'[2]Oct-Dec''25'!BQ67+'[2]Apr-Sep''25'!BQ67</f>
        <v>22</v>
      </c>
      <c r="BP67" s="13">
        <f>'[2]Oct-Dec''25'!BR67+'[2]Apr-Sep''25'!BR67</f>
        <v>15</v>
      </c>
      <c r="BQ67" s="15">
        <f t="shared" si="108"/>
        <v>0.68181818181818177</v>
      </c>
      <c r="BR67" s="13">
        <f>'[2]Oct-Dec''25'!BT67+'[2]Apr-Sep''25'!BT67</f>
        <v>19</v>
      </c>
      <c r="BS67" s="13">
        <f>'[2]Oct-Dec''25'!BU67+'[2]Apr-Sep''25'!BU67</f>
        <v>16</v>
      </c>
      <c r="BT67" s="14">
        <f t="shared" si="109"/>
        <v>0.84210526315789469</v>
      </c>
      <c r="BU67" s="13">
        <f>'[2]Oct-Dec''25'!BW67+'[2]Apr-Sep''25'!BW67</f>
        <v>0</v>
      </c>
      <c r="BV67" s="13">
        <f>'[2]Oct-Dec''25'!BX67+'[2]Apr-Sep''25'!BX67</f>
        <v>0</v>
      </c>
      <c r="BW67" s="14">
        <f t="shared" si="110"/>
        <v>0</v>
      </c>
      <c r="BX67" s="13">
        <f>'[2]Oct-Dec''25'!BZ67+'[2]Apr-Sep''25'!BZ67</f>
        <v>267</v>
      </c>
      <c r="BY67" s="13">
        <f>'[2]Oct-Dec''25'!CA67+'[2]Apr-Sep''25'!CA67</f>
        <v>260</v>
      </c>
      <c r="BZ67" s="14">
        <f t="shared" si="111"/>
        <v>0.97378277153558057</v>
      </c>
      <c r="CA67" s="13">
        <f>'[2]Oct-Dec''25'!CC67+'[2]Apr-Sep''25'!CC67</f>
        <v>169</v>
      </c>
      <c r="CB67" s="13">
        <f>'[2]Oct-Dec''25'!CD67+'[2]Apr-Sep''25'!CD67</f>
        <v>144</v>
      </c>
      <c r="CC67" s="14">
        <f t="shared" si="112"/>
        <v>0.85207100591715978</v>
      </c>
      <c r="CD67" s="13">
        <f>'[2]Oct-Dec''25'!CF67+'[2]Apr-Sep''25'!CF67</f>
        <v>4</v>
      </c>
      <c r="CE67" s="13">
        <f>'[2]Oct-Dec''25'!CG67+'[2]Apr-Sep''25'!CG67</f>
        <v>4</v>
      </c>
      <c r="CF67" s="14">
        <f t="shared" si="113"/>
        <v>1</v>
      </c>
    </row>
    <row r="68" spans="1:84" ht="36" x14ac:dyDescent="0.25">
      <c r="A68" s="12">
        <f>'[2]Oct-Dec''25'!A68</f>
        <v>62</v>
      </c>
      <c r="B68" s="12" t="str">
        <f>'[2]Oct-Dec''25'!B68</f>
        <v>UPNP+</v>
      </c>
      <c r="C68" s="1" t="str">
        <f>'[2]Oct-Dec''25'!C68</f>
        <v>Uttar Pradesh</v>
      </c>
      <c r="D68" s="3" t="str">
        <f>'[2]Oct-Dec''25'!D68</f>
        <v>CHANDRAKANTA GRAMODYOG SEVA SANSTHAN</v>
      </c>
      <c r="E68" s="1" t="str">
        <f>'[2]Oct-Dec''25'!E68</f>
        <v>SIDDHARTH NAGAR</v>
      </c>
      <c r="F68" s="12" t="s">
        <v>85</v>
      </c>
      <c r="G68" s="13">
        <f>'[2]Oct-Dec''25'!H68+'[2]Apr-Sep''25'!H68</f>
        <v>223</v>
      </c>
      <c r="H68" s="13">
        <f>'[2]Oct-Dec''25'!I68+'[2]Apr-Sep''25'!I68</f>
        <v>231</v>
      </c>
      <c r="I68" s="7">
        <f t="shared" si="87"/>
        <v>1.0358744394618835</v>
      </c>
      <c r="J68" s="13">
        <f>'[2]Oct-Dec''25'!K68+'[2]Apr-Sep''25'!K68</f>
        <v>13</v>
      </c>
      <c r="K68" s="13">
        <f>'[2]Oct-Dec''25'!L68+'[2]Apr-Sep''25'!L68</f>
        <v>9</v>
      </c>
      <c r="L68" s="7">
        <f>K68/J68</f>
        <v>0.69230769230769229</v>
      </c>
      <c r="M68" s="13">
        <f>'[2]Oct-Dec''25'!N68+'[2]Apr-Sep''25'!N68</f>
        <v>223</v>
      </c>
      <c r="N68" s="13">
        <f>'[2]Oct-Dec''25'!O68+'[2]Apr-Sep''25'!O68</f>
        <v>223</v>
      </c>
      <c r="O68" s="8">
        <f t="shared" si="88"/>
        <v>1</v>
      </c>
      <c r="P68" s="13">
        <f>'[2]Oct-Dec''25'!Q68+'[2]Apr-Sep''25'!Q68</f>
        <v>216</v>
      </c>
      <c r="Q68" s="13">
        <f>'[2]Oct-Dec''25'!R68+'[2]Apr-Sep''25'!R68</f>
        <v>157</v>
      </c>
      <c r="R68" s="8">
        <f t="shared" si="89"/>
        <v>0.72685185185185186</v>
      </c>
      <c r="S68" s="13">
        <f>'[2]Oct-Dec''25'!T68+'[2]Apr-Sep''25'!T68</f>
        <v>922</v>
      </c>
      <c r="T68" s="13">
        <f>'[2]Oct-Dec''25'!U68+'[2]Apr-Sep''25'!U68</f>
        <v>764</v>
      </c>
      <c r="U68" s="8">
        <f t="shared" si="90"/>
        <v>0.82863340563991328</v>
      </c>
      <c r="V68" s="13">
        <f>'[2]Oct-Dec''25'!W68+'[2]Apr-Sep''25'!W68</f>
        <v>178</v>
      </c>
      <c r="W68" s="13">
        <f>'[2]Oct-Dec''25'!Y68+'[2]Apr-Sep''25'!Y68</f>
        <v>180</v>
      </c>
      <c r="X68" s="8">
        <f t="shared" si="91"/>
        <v>1.0112359550561798</v>
      </c>
      <c r="Y68" s="13">
        <f>'[2]Oct-Dec''25'!AA68+'[2]Apr-Sep''25'!AA68</f>
        <v>80</v>
      </c>
      <c r="Z68" s="13">
        <f>'[2]Oct-Dec''25'!AB68+'[2]Apr-Sep''25'!AB68</f>
        <v>80</v>
      </c>
      <c r="AA68" s="8">
        <f t="shared" si="92"/>
        <v>1</v>
      </c>
      <c r="AB68" s="13">
        <f>'[2]Oct-Dec''25'!AD68+'[2]Apr-Sep''25'!AD68</f>
        <v>94</v>
      </c>
      <c r="AC68" s="13">
        <f>'[2]Oct-Dec''25'!AE68+'[2]Apr-Sep''25'!AE68</f>
        <v>50</v>
      </c>
      <c r="AD68" s="8">
        <f t="shared" si="93"/>
        <v>0.53191489361702127</v>
      </c>
      <c r="AE68" s="13">
        <f>'[2]Oct-Dec''25'!AJ68+'[2]Apr-Sep''25'!AJ68</f>
        <v>352</v>
      </c>
      <c r="AF68" s="13">
        <f>'[2]Oct-Dec''25'!AK68+'[2]Apr-Sep''25'!AK68</f>
        <v>208</v>
      </c>
      <c r="AG68" s="8">
        <f t="shared" si="94"/>
        <v>0.59090909090909094</v>
      </c>
      <c r="AH68" s="13">
        <f>'[2]Oct-Dec''25'!AM68+'[2]Apr-Sep''25'!AM68</f>
        <v>0</v>
      </c>
      <c r="AI68" s="13">
        <f>'[2]Oct-Dec''25'!AN68+'[2]Apr-Sep''25'!AN68</f>
        <v>0</v>
      </c>
      <c r="AJ68" s="8" t="e">
        <f t="shared" si="95"/>
        <v>#DIV/0!</v>
      </c>
      <c r="AK68" s="13">
        <f>'[2]Oct-Dec''25'!AP68+'[2]Apr-Sep''25'!AP68</f>
        <v>77</v>
      </c>
      <c r="AL68" s="13">
        <f>'[2]Oct-Dec''25'!AQ68+'[2]Apr-Sep''25'!AQ68</f>
        <v>29</v>
      </c>
      <c r="AM68" s="8">
        <f t="shared" si="96"/>
        <v>0.37662337662337664</v>
      </c>
      <c r="AN68" s="13">
        <f>'[2]Oct-Dec''25'!AS68+'[2]Apr-Sep''25'!AS68</f>
        <v>30</v>
      </c>
      <c r="AO68" s="13">
        <f>'[2]Oct-Dec''25'!AT68+'[2]Apr-Sep''25'!AT68</f>
        <v>53</v>
      </c>
      <c r="AP68" s="8">
        <f t="shared" si="97"/>
        <v>1.7666666666666666</v>
      </c>
      <c r="AQ68" s="13">
        <f>'[2]Oct-Dec''25'!AV68+'[2]Apr-Sep''25'!AV68</f>
        <v>0</v>
      </c>
      <c r="AR68" s="13">
        <f>'[2]Oct-Dec''25'!AW68+'[2]Apr-Sep''25'!AW68</f>
        <v>0</v>
      </c>
      <c r="AS68" s="8" t="e">
        <f t="shared" si="98"/>
        <v>#DIV/0!</v>
      </c>
      <c r="AT68" s="13">
        <f>'[2]Oct-Dec''25'!AY68+'[2]Apr-Sep''25'!AY68</f>
        <v>43</v>
      </c>
      <c r="AU68" s="13">
        <f>'[2]Oct-Dec''25'!AZ68+'[2]Apr-Sep''25'!AZ68</f>
        <v>55</v>
      </c>
      <c r="AV68" s="8">
        <f t="shared" si="99"/>
        <v>1.2790697674418605</v>
      </c>
      <c r="AW68" s="9">
        <f t="shared" si="100"/>
        <v>73</v>
      </c>
      <c r="AX68" s="9">
        <f t="shared" si="101"/>
        <v>108</v>
      </c>
      <c r="AY68" s="8">
        <f t="shared" si="102"/>
        <v>1.4794520547945205</v>
      </c>
      <c r="AZ68" s="13">
        <f>'[2]Oct-Dec''25'!BB68+'[2]Apr-Sep''25'!BB68</f>
        <v>20</v>
      </c>
      <c r="BA68" s="13">
        <f>'[2]Oct-Dec''25'!BC68+'[2]Apr-Sep''25'!BC68</f>
        <v>38</v>
      </c>
      <c r="BB68" s="14">
        <f t="shared" si="103"/>
        <v>1.9</v>
      </c>
      <c r="BC68" s="13">
        <f>'[2]Oct-Dec''25'!BE68+'[2]Apr-Sep''25'!BE68</f>
        <v>10</v>
      </c>
      <c r="BD68" s="13">
        <f>'[2]Oct-Dec''25'!BF68+'[2]Apr-Sep''25'!BF68</f>
        <v>10</v>
      </c>
      <c r="BE68" s="14">
        <f t="shared" si="104"/>
        <v>1</v>
      </c>
      <c r="BF68" s="13">
        <f>'[2]Oct-Dec''25'!BH68+'[2]Apr-Sep''25'!BH68</f>
        <v>17</v>
      </c>
      <c r="BG68" s="13">
        <f>'[2]Oct-Dec''25'!BI68+'[2]Apr-Sep''25'!BI68</f>
        <v>15</v>
      </c>
      <c r="BH68" s="14">
        <f t="shared" si="105"/>
        <v>0.88235294117647056</v>
      </c>
      <c r="BI68" s="13">
        <f>'[2]Oct-Dec''25'!BK68+'[2]Apr-Sep''25'!BK68</f>
        <v>6</v>
      </c>
      <c r="BJ68" s="13">
        <f>'[2]Oct-Dec''25'!BL68+'[2]Apr-Sep''25'!BL68</f>
        <v>6</v>
      </c>
      <c r="BK68" s="15">
        <f t="shared" si="106"/>
        <v>1</v>
      </c>
      <c r="BL68" s="13">
        <f>'[2]Oct-Dec''25'!BN68+'[2]Apr-Sep''25'!BN68</f>
        <v>18</v>
      </c>
      <c r="BM68" s="13">
        <f>'[2]Oct-Dec''25'!BO68+'[2]Apr-Sep''25'!BO68</f>
        <v>17</v>
      </c>
      <c r="BN68" s="15">
        <f t="shared" si="107"/>
        <v>0.94444444444444442</v>
      </c>
      <c r="BO68" s="13">
        <f>'[2]Oct-Dec''25'!BQ68+'[2]Apr-Sep''25'!BQ68</f>
        <v>9</v>
      </c>
      <c r="BP68" s="13">
        <f>'[2]Oct-Dec''25'!BR68+'[2]Apr-Sep''25'!BR68</f>
        <v>7</v>
      </c>
      <c r="BQ68" s="15">
        <f t="shared" si="108"/>
        <v>0.77777777777777779</v>
      </c>
      <c r="BR68" s="13">
        <f>'[2]Oct-Dec''25'!BT68+'[2]Apr-Sep''25'!BT68</f>
        <v>15</v>
      </c>
      <c r="BS68" s="13">
        <f>'[2]Oct-Dec''25'!BU68+'[2]Apr-Sep''25'!BU68</f>
        <v>12</v>
      </c>
      <c r="BT68" s="14">
        <f t="shared" si="109"/>
        <v>0.8</v>
      </c>
      <c r="BU68" s="13">
        <f>'[2]Oct-Dec''25'!BW68+'[2]Apr-Sep''25'!BW68</f>
        <v>0</v>
      </c>
      <c r="BV68" s="13">
        <f>'[2]Oct-Dec''25'!BX68+'[2]Apr-Sep''25'!BX68</f>
        <v>0</v>
      </c>
      <c r="BW68" s="14">
        <f t="shared" si="110"/>
        <v>0</v>
      </c>
      <c r="BX68" s="13">
        <f>'[2]Oct-Dec''25'!BZ68+'[2]Apr-Sep''25'!BZ68</f>
        <v>231</v>
      </c>
      <c r="BY68" s="13">
        <f>'[2]Oct-Dec''25'!CA68+'[2]Apr-Sep''25'!CA68</f>
        <v>231</v>
      </c>
      <c r="BZ68" s="14">
        <f t="shared" si="111"/>
        <v>1</v>
      </c>
      <c r="CA68" s="13">
        <f>'[2]Oct-Dec''25'!CC68+'[2]Apr-Sep''25'!CC68</f>
        <v>195</v>
      </c>
      <c r="CB68" s="13">
        <f>'[2]Oct-Dec''25'!CD68+'[2]Apr-Sep''25'!CD68</f>
        <v>195</v>
      </c>
      <c r="CC68" s="14">
        <f t="shared" si="112"/>
        <v>1</v>
      </c>
      <c r="CD68" s="13">
        <f>'[2]Oct-Dec''25'!CF68+'[2]Apr-Sep''25'!CF68</f>
        <v>0</v>
      </c>
      <c r="CE68" s="13">
        <f>'[2]Oct-Dec''25'!CG68+'[2]Apr-Sep''25'!CG68</f>
        <v>0</v>
      </c>
      <c r="CF68" s="14">
        <f t="shared" si="113"/>
        <v>0</v>
      </c>
    </row>
    <row r="69" spans="1:84" ht="48" x14ac:dyDescent="0.25">
      <c r="A69" s="12">
        <f>'[2]Oct-Dec''25'!A69</f>
        <v>63</v>
      </c>
      <c r="B69" s="12" t="str">
        <f>'[2]Oct-Dec''25'!B69</f>
        <v>UPNP+</v>
      </c>
      <c r="C69" s="1" t="str">
        <f>'[2]Oct-Dec''25'!C69</f>
        <v>Uttar Pradesh</v>
      </c>
      <c r="D69" s="3" t="str">
        <f>'[2]Oct-Dec''25'!D69</f>
        <v>BANARAS NETWORK FOR POSITIVE PEOPLE LIVING WITH HIV/AIDS SOCIETY</v>
      </c>
      <c r="E69" s="1" t="str">
        <f>'[2]Oct-Dec''25'!E69</f>
        <v>VARANASI</v>
      </c>
      <c r="F69" s="12" t="s">
        <v>85</v>
      </c>
      <c r="G69" s="13">
        <f>'[2]Oct-Dec''25'!H69+'[2]Apr-Sep''25'!H69</f>
        <v>677</v>
      </c>
      <c r="H69" s="13">
        <f>'[2]Oct-Dec''25'!I69+'[2]Apr-Sep''25'!I69</f>
        <v>572</v>
      </c>
      <c r="I69" s="7">
        <f t="shared" si="87"/>
        <v>0.84490398818316104</v>
      </c>
      <c r="J69" s="13">
        <f>'[2]Oct-Dec''25'!K69+'[2]Apr-Sep''25'!K69</f>
        <v>41</v>
      </c>
      <c r="K69" s="13">
        <f>'[2]Oct-Dec''25'!L69+'[2]Apr-Sep''25'!L69</f>
        <v>31</v>
      </c>
      <c r="L69" s="7">
        <f>K69/J69</f>
        <v>0.75609756097560976</v>
      </c>
      <c r="M69" s="13">
        <f>'[2]Oct-Dec''25'!N69+'[2]Apr-Sep''25'!N69</f>
        <v>626</v>
      </c>
      <c r="N69" s="13">
        <f>'[2]Oct-Dec''25'!O69+'[2]Apr-Sep''25'!O69</f>
        <v>626</v>
      </c>
      <c r="O69" s="8">
        <f t="shared" si="88"/>
        <v>1</v>
      </c>
      <c r="P69" s="13">
        <f>'[2]Oct-Dec''25'!Q69+'[2]Apr-Sep''25'!Q69</f>
        <v>543</v>
      </c>
      <c r="Q69" s="13">
        <f>'[2]Oct-Dec''25'!R69+'[2]Apr-Sep''25'!R69</f>
        <v>458</v>
      </c>
      <c r="R69" s="8">
        <f t="shared" si="89"/>
        <v>0.84346224677716386</v>
      </c>
      <c r="S69" s="13">
        <f>'[2]Oct-Dec''25'!T69+'[2]Apr-Sep''25'!T69</f>
        <v>2812</v>
      </c>
      <c r="T69" s="13">
        <f>'[2]Oct-Dec''25'!U69+'[2]Apr-Sep''25'!U69</f>
        <v>2174</v>
      </c>
      <c r="U69" s="8">
        <f t="shared" si="90"/>
        <v>0.77311522048364156</v>
      </c>
      <c r="V69" s="13">
        <f>'[2]Oct-Dec''25'!W69+'[2]Apr-Sep''25'!W69</f>
        <v>997</v>
      </c>
      <c r="W69" s="13">
        <f>'[2]Oct-Dec''25'!Y69+'[2]Apr-Sep''25'!Y69</f>
        <v>693</v>
      </c>
      <c r="X69" s="8">
        <f t="shared" si="91"/>
        <v>0.69508525576730196</v>
      </c>
      <c r="Y69" s="13">
        <f>'[2]Oct-Dec''25'!AA69+'[2]Apr-Sep''25'!AA69</f>
        <v>317</v>
      </c>
      <c r="Z69" s="13">
        <f>'[2]Oct-Dec''25'!AB69+'[2]Apr-Sep''25'!AB69</f>
        <v>317</v>
      </c>
      <c r="AA69" s="8">
        <f t="shared" si="92"/>
        <v>1</v>
      </c>
      <c r="AB69" s="13">
        <f>'[2]Oct-Dec''25'!AD69+'[2]Apr-Sep''25'!AD69</f>
        <v>399</v>
      </c>
      <c r="AC69" s="13">
        <f>'[2]Oct-Dec''25'!AE69+'[2]Apr-Sep''25'!AE69</f>
        <v>287</v>
      </c>
      <c r="AD69" s="8">
        <f t="shared" si="93"/>
        <v>0.7192982456140351</v>
      </c>
      <c r="AE69" s="13">
        <f>'[2]Oct-Dec''25'!AJ69+'[2]Apr-Sep''25'!AJ69</f>
        <v>1242</v>
      </c>
      <c r="AF69" s="13">
        <f>'[2]Oct-Dec''25'!AK69+'[2]Apr-Sep''25'!AK69</f>
        <v>1108</v>
      </c>
      <c r="AG69" s="8">
        <f t="shared" si="94"/>
        <v>0.89210950080515294</v>
      </c>
      <c r="AH69" s="13">
        <f>'[2]Oct-Dec''25'!AM69+'[2]Apr-Sep''25'!AM69</f>
        <v>40</v>
      </c>
      <c r="AI69" s="13">
        <f>'[2]Oct-Dec''25'!AN69+'[2]Apr-Sep''25'!AN69</f>
        <v>33</v>
      </c>
      <c r="AJ69" s="8">
        <f t="shared" si="95"/>
        <v>0.82499999999999996</v>
      </c>
      <c r="AK69" s="13">
        <f>'[2]Oct-Dec''25'!AP69+'[2]Apr-Sep''25'!AP69</f>
        <v>106</v>
      </c>
      <c r="AL69" s="13">
        <f>'[2]Oct-Dec''25'!AQ69+'[2]Apr-Sep''25'!AQ69</f>
        <v>99</v>
      </c>
      <c r="AM69" s="8">
        <f t="shared" si="96"/>
        <v>0.93396226415094341</v>
      </c>
      <c r="AN69" s="13">
        <f>'[2]Oct-Dec''25'!AS69+'[2]Apr-Sep''25'!AS69</f>
        <v>43</v>
      </c>
      <c r="AO69" s="13">
        <f>'[2]Oct-Dec''25'!AT69+'[2]Apr-Sep''25'!AT69</f>
        <v>28</v>
      </c>
      <c r="AP69" s="8">
        <f t="shared" si="97"/>
        <v>0.65116279069767447</v>
      </c>
      <c r="AQ69" s="13">
        <f>'[2]Oct-Dec''25'!AV69+'[2]Apr-Sep''25'!AV69</f>
        <v>0</v>
      </c>
      <c r="AR69" s="13">
        <f>'[2]Oct-Dec''25'!AW69+'[2]Apr-Sep''25'!AW69</f>
        <v>0</v>
      </c>
      <c r="AS69" s="8" t="e">
        <f t="shared" si="98"/>
        <v>#DIV/0!</v>
      </c>
      <c r="AT69" s="13">
        <f>'[2]Oct-Dec''25'!AY69+'[2]Apr-Sep''25'!AY69</f>
        <v>66</v>
      </c>
      <c r="AU69" s="13">
        <f>'[2]Oct-Dec''25'!AZ69+'[2]Apr-Sep''25'!AZ69</f>
        <v>52</v>
      </c>
      <c r="AV69" s="8">
        <f t="shared" si="99"/>
        <v>0.78787878787878785</v>
      </c>
      <c r="AW69" s="9">
        <f t="shared" si="100"/>
        <v>109</v>
      </c>
      <c r="AX69" s="9">
        <f t="shared" si="101"/>
        <v>80</v>
      </c>
      <c r="AY69" s="8">
        <f t="shared" si="102"/>
        <v>0.73394495412844041</v>
      </c>
      <c r="AZ69" s="13">
        <f>'[2]Oct-Dec''25'!BB69+'[2]Apr-Sep''25'!BB69</f>
        <v>66</v>
      </c>
      <c r="BA69" s="13">
        <f>'[2]Oct-Dec''25'!BC69+'[2]Apr-Sep''25'!BC69</f>
        <v>199</v>
      </c>
      <c r="BB69" s="14">
        <f t="shared" si="103"/>
        <v>3.0151515151515151</v>
      </c>
      <c r="BC69" s="13">
        <f>'[2]Oct-Dec''25'!BE69+'[2]Apr-Sep''25'!BE69</f>
        <v>19</v>
      </c>
      <c r="BD69" s="13">
        <f>'[2]Oct-Dec''25'!BF69+'[2]Apr-Sep''25'!BF69</f>
        <v>19</v>
      </c>
      <c r="BE69" s="14">
        <f t="shared" si="104"/>
        <v>1</v>
      </c>
      <c r="BF69" s="13">
        <f>'[2]Oct-Dec''25'!BH69+'[2]Apr-Sep''25'!BH69</f>
        <v>28</v>
      </c>
      <c r="BG69" s="13">
        <f>'[2]Oct-Dec''25'!BI69+'[2]Apr-Sep''25'!BI69</f>
        <v>30</v>
      </c>
      <c r="BH69" s="14">
        <f t="shared" si="105"/>
        <v>1.0714285714285714</v>
      </c>
      <c r="BI69" s="13">
        <f>'[2]Oct-Dec''25'!BK69+'[2]Apr-Sep''25'!BK69</f>
        <v>7</v>
      </c>
      <c r="BJ69" s="13">
        <f>'[2]Oct-Dec''25'!BL69+'[2]Apr-Sep''25'!BL69</f>
        <v>7</v>
      </c>
      <c r="BK69" s="15">
        <f t="shared" si="106"/>
        <v>1</v>
      </c>
      <c r="BL69" s="13">
        <f>'[2]Oct-Dec''25'!BN69+'[2]Apr-Sep''25'!BN69</f>
        <v>2</v>
      </c>
      <c r="BM69" s="13">
        <f>'[2]Oct-Dec''25'!BO69+'[2]Apr-Sep''25'!BO69</f>
        <v>2</v>
      </c>
      <c r="BN69" s="15">
        <f t="shared" si="107"/>
        <v>1</v>
      </c>
      <c r="BO69" s="13">
        <f>'[2]Oct-Dec''25'!BQ69+'[2]Apr-Sep''25'!BQ69</f>
        <v>2</v>
      </c>
      <c r="BP69" s="13">
        <f>'[2]Oct-Dec''25'!BR69+'[2]Apr-Sep''25'!BR69</f>
        <v>4</v>
      </c>
      <c r="BQ69" s="15">
        <f t="shared" si="108"/>
        <v>2</v>
      </c>
      <c r="BR69" s="13">
        <f>'[2]Oct-Dec''25'!BT69+'[2]Apr-Sep''25'!BT69</f>
        <v>4</v>
      </c>
      <c r="BS69" s="13">
        <f>'[2]Oct-Dec''25'!BU69+'[2]Apr-Sep''25'!BU69</f>
        <v>4</v>
      </c>
      <c r="BT69" s="14">
        <f t="shared" si="109"/>
        <v>1</v>
      </c>
      <c r="BU69" s="13">
        <f>'[2]Oct-Dec''25'!BW69+'[2]Apr-Sep''25'!BW69</f>
        <v>1</v>
      </c>
      <c r="BV69" s="13">
        <f>'[2]Oct-Dec''25'!BX69+'[2]Apr-Sep''25'!BX69</f>
        <v>1</v>
      </c>
      <c r="BW69" s="14">
        <f t="shared" si="110"/>
        <v>1</v>
      </c>
      <c r="BX69" s="13">
        <f>'[2]Oct-Dec''25'!BZ69+'[2]Apr-Sep''25'!BZ69</f>
        <v>572</v>
      </c>
      <c r="BY69" s="13">
        <f>'[2]Oct-Dec''25'!CA69+'[2]Apr-Sep''25'!CA69</f>
        <v>571</v>
      </c>
      <c r="BZ69" s="14">
        <f t="shared" si="111"/>
        <v>0.99825174825174823</v>
      </c>
      <c r="CA69" s="13">
        <f>'[2]Oct-Dec''25'!CC69+'[2]Apr-Sep''25'!CC69</f>
        <v>592</v>
      </c>
      <c r="CB69" s="13">
        <f>'[2]Oct-Dec''25'!CD69+'[2]Apr-Sep''25'!CD69</f>
        <v>646</v>
      </c>
      <c r="CC69" s="14">
        <f t="shared" si="112"/>
        <v>1.0912162162162162</v>
      </c>
      <c r="CD69" s="13">
        <f>'[2]Oct-Dec''25'!CF69+'[2]Apr-Sep''25'!CF69</f>
        <v>252</v>
      </c>
      <c r="CE69" s="13">
        <f>'[2]Oct-Dec''25'!CG69+'[2]Apr-Sep''25'!CG69</f>
        <v>252</v>
      </c>
      <c r="CF69" s="14">
        <f t="shared" si="113"/>
        <v>1</v>
      </c>
    </row>
    <row r="70" spans="1:84" ht="36" x14ac:dyDescent="0.25">
      <c r="A70" s="12">
        <f>'[2]Oct-Dec''25'!A70</f>
        <v>64</v>
      </c>
      <c r="B70" s="12" t="str">
        <f>'[2]Oct-Dec''25'!B70</f>
        <v>UPNP+</v>
      </c>
      <c r="C70" s="1" t="str">
        <f>'[2]Oct-Dec''25'!C70</f>
        <v>Uttar Pradesh</v>
      </c>
      <c r="D70" s="3" t="str">
        <f>'[2]Oct-Dec''25'!D70</f>
        <v>ETAWAH NETWORK FOR PEOPLE LIVING WITH HIV/AIDS</v>
      </c>
      <c r="E70" s="1" t="str">
        <f>'[2]Oct-Dec''25'!E70</f>
        <v>ETAWAH</v>
      </c>
      <c r="F70" s="12" t="s">
        <v>85</v>
      </c>
      <c r="G70" s="13">
        <f>'[2]Oct-Dec''25'!H70+'[2]Apr-Sep''25'!H70</f>
        <v>315</v>
      </c>
      <c r="H70" s="13">
        <f>'[2]Oct-Dec''25'!I70+'[2]Apr-Sep''25'!I70</f>
        <v>295</v>
      </c>
      <c r="I70" s="7">
        <f t="shared" si="87"/>
        <v>0.93650793650793651</v>
      </c>
      <c r="J70" s="13">
        <f>'[2]Oct-Dec''25'!K70+'[2]Apr-Sep''25'!K70</f>
        <v>6</v>
      </c>
      <c r="K70" s="13">
        <f>'[2]Oct-Dec''25'!L70+'[2]Apr-Sep''25'!L70</f>
        <v>6</v>
      </c>
      <c r="L70" s="7">
        <f>K70/J70</f>
        <v>1</v>
      </c>
      <c r="M70" s="13">
        <f>'[2]Oct-Dec''25'!N70+'[2]Apr-Sep''25'!N70</f>
        <v>293</v>
      </c>
      <c r="N70" s="13">
        <f>'[2]Oct-Dec''25'!O70+'[2]Apr-Sep''25'!O70</f>
        <v>293</v>
      </c>
      <c r="O70" s="8">
        <f t="shared" si="88"/>
        <v>1</v>
      </c>
      <c r="P70" s="13">
        <f>'[2]Oct-Dec''25'!Q70+'[2]Apr-Sep''25'!Q70</f>
        <v>212</v>
      </c>
      <c r="Q70" s="13">
        <f>'[2]Oct-Dec''25'!R70+'[2]Apr-Sep''25'!R70</f>
        <v>148</v>
      </c>
      <c r="R70" s="8">
        <f t="shared" si="89"/>
        <v>0.69811320754716977</v>
      </c>
      <c r="S70" s="13">
        <f>'[2]Oct-Dec''25'!T70+'[2]Apr-Sep''25'!T70</f>
        <v>1723</v>
      </c>
      <c r="T70" s="13">
        <f>'[2]Oct-Dec''25'!U70+'[2]Apr-Sep''25'!U70</f>
        <v>1346</v>
      </c>
      <c r="U70" s="8">
        <f t="shared" si="90"/>
        <v>0.7811955890887986</v>
      </c>
      <c r="V70" s="13">
        <f>'[2]Oct-Dec''25'!W70+'[2]Apr-Sep''25'!W70</f>
        <v>577</v>
      </c>
      <c r="W70" s="13">
        <f>'[2]Oct-Dec''25'!Y70+'[2]Apr-Sep''25'!Y70</f>
        <v>371</v>
      </c>
      <c r="X70" s="8">
        <f t="shared" si="91"/>
        <v>0.64298093587521665</v>
      </c>
      <c r="Y70" s="13">
        <f>'[2]Oct-Dec''25'!AA70+'[2]Apr-Sep''25'!AA70</f>
        <v>80</v>
      </c>
      <c r="Z70" s="13">
        <f>'[2]Oct-Dec''25'!AB70+'[2]Apr-Sep''25'!AB70</f>
        <v>80</v>
      </c>
      <c r="AA70" s="8">
        <f t="shared" si="92"/>
        <v>1</v>
      </c>
      <c r="AB70" s="13">
        <f>'[2]Oct-Dec''25'!AD70+'[2]Apr-Sep''25'!AD70</f>
        <v>40</v>
      </c>
      <c r="AC70" s="13">
        <f>'[2]Oct-Dec''25'!AE70+'[2]Apr-Sep''25'!AE70</f>
        <v>32</v>
      </c>
      <c r="AD70" s="8">
        <f t="shared" si="93"/>
        <v>0.8</v>
      </c>
      <c r="AE70" s="13">
        <f>'[2]Oct-Dec''25'!AJ70+'[2]Apr-Sep''25'!AJ70</f>
        <v>847</v>
      </c>
      <c r="AF70" s="13">
        <f>'[2]Oct-Dec''25'!AK70+'[2]Apr-Sep''25'!AK70</f>
        <v>319</v>
      </c>
      <c r="AG70" s="8">
        <f t="shared" si="94"/>
        <v>0.37662337662337664</v>
      </c>
      <c r="AH70" s="13">
        <f>'[2]Oct-Dec''25'!AM70+'[2]Apr-Sep''25'!AM70</f>
        <v>0</v>
      </c>
      <c r="AI70" s="13">
        <f>'[2]Oct-Dec''25'!AN70+'[2]Apr-Sep''25'!AN70</f>
        <v>0</v>
      </c>
      <c r="AJ70" s="8" t="e">
        <f t="shared" si="95"/>
        <v>#DIV/0!</v>
      </c>
      <c r="AK70" s="13">
        <f>'[2]Oct-Dec''25'!AP70+'[2]Apr-Sep''25'!AP70</f>
        <v>105</v>
      </c>
      <c r="AL70" s="13">
        <f>'[2]Oct-Dec''25'!AQ70+'[2]Apr-Sep''25'!AQ70</f>
        <v>44</v>
      </c>
      <c r="AM70" s="8">
        <f t="shared" si="96"/>
        <v>0.41904761904761906</v>
      </c>
      <c r="AN70" s="13">
        <f>'[2]Oct-Dec''25'!AS70+'[2]Apr-Sep''25'!AS70</f>
        <v>23</v>
      </c>
      <c r="AO70" s="13">
        <f>'[2]Oct-Dec''25'!AT70+'[2]Apr-Sep''25'!AT70</f>
        <v>12</v>
      </c>
      <c r="AP70" s="8">
        <f t="shared" si="97"/>
        <v>0.52173913043478259</v>
      </c>
      <c r="AQ70" s="13">
        <f>'[2]Oct-Dec''25'!AV70+'[2]Apr-Sep''25'!AV70</f>
        <v>0</v>
      </c>
      <c r="AR70" s="13">
        <f>'[2]Oct-Dec''25'!AW70+'[2]Apr-Sep''25'!AW70</f>
        <v>0</v>
      </c>
      <c r="AS70" s="8" t="e">
        <f t="shared" si="98"/>
        <v>#DIV/0!</v>
      </c>
      <c r="AT70" s="13">
        <f>'[2]Oct-Dec''25'!AY70+'[2]Apr-Sep''25'!AY70</f>
        <v>43</v>
      </c>
      <c r="AU70" s="13">
        <f>'[2]Oct-Dec''25'!AZ70+'[2]Apr-Sep''25'!AZ70</f>
        <v>35</v>
      </c>
      <c r="AV70" s="8">
        <f t="shared" si="99"/>
        <v>0.81395348837209303</v>
      </c>
      <c r="AW70" s="9">
        <f t="shared" si="100"/>
        <v>66</v>
      </c>
      <c r="AX70" s="9">
        <f t="shared" si="101"/>
        <v>47</v>
      </c>
      <c r="AY70" s="8">
        <f t="shared" si="102"/>
        <v>0.71212121212121215</v>
      </c>
      <c r="AZ70" s="13">
        <f>'[2]Oct-Dec''25'!BB70+'[2]Apr-Sep''25'!BB70</f>
        <v>77</v>
      </c>
      <c r="BA70" s="13">
        <f>'[2]Oct-Dec''25'!BC70+'[2]Apr-Sep''25'!BC70</f>
        <v>71</v>
      </c>
      <c r="BB70" s="14">
        <f t="shared" si="103"/>
        <v>0.92207792207792205</v>
      </c>
      <c r="BC70" s="13">
        <f>'[2]Oct-Dec''25'!BE70+'[2]Apr-Sep''25'!BE70</f>
        <v>12</v>
      </c>
      <c r="BD70" s="13">
        <f>'[2]Oct-Dec''25'!BF70+'[2]Apr-Sep''25'!BF70</f>
        <v>12</v>
      </c>
      <c r="BE70" s="14">
        <f t="shared" si="104"/>
        <v>1</v>
      </c>
      <c r="BF70" s="13">
        <f>'[2]Oct-Dec''25'!BH70+'[2]Apr-Sep''25'!BH70</f>
        <v>24</v>
      </c>
      <c r="BG70" s="13">
        <f>'[2]Oct-Dec''25'!BI70+'[2]Apr-Sep''25'!BI70</f>
        <v>23</v>
      </c>
      <c r="BH70" s="14">
        <f t="shared" si="105"/>
        <v>0.95833333333333337</v>
      </c>
      <c r="BI70" s="13">
        <f>'[2]Oct-Dec''25'!BK70+'[2]Apr-Sep''25'!BK70</f>
        <v>13</v>
      </c>
      <c r="BJ70" s="13">
        <f>'[2]Oct-Dec''25'!BL70+'[2]Apr-Sep''25'!BL70</f>
        <v>11</v>
      </c>
      <c r="BK70" s="15">
        <f t="shared" si="106"/>
        <v>0.84615384615384615</v>
      </c>
      <c r="BL70" s="13">
        <f>'[2]Oct-Dec''25'!BN70+'[2]Apr-Sep''25'!BN70</f>
        <v>14</v>
      </c>
      <c r="BM70" s="13">
        <f>'[2]Oct-Dec''25'!BO70+'[2]Apr-Sep''25'!BO70</f>
        <v>12</v>
      </c>
      <c r="BN70" s="15">
        <f t="shared" si="107"/>
        <v>0.8571428571428571</v>
      </c>
      <c r="BO70" s="13">
        <f>'[2]Oct-Dec''25'!BQ70+'[2]Apr-Sep''25'!BQ70</f>
        <v>14</v>
      </c>
      <c r="BP70" s="13">
        <f>'[2]Oct-Dec''25'!BR70+'[2]Apr-Sep''25'!BR70</f>
        <v>9</v>
      </c>
      <c r="BQ70" s="15">
        <f t="shared" si="108"/>
        <v>0.6428571428571429</v>
      </c>
      <c r="BR70" s="13">
        <f>'[2]Oct-Dec''25'!BT70+'[2]Apr-Sep''25'!BT70</f>
        <v>15</v>
      </c>
      <c r="BS70" s="13">
        <f>'[2]Oct-Dec''25'!BU70+'[2]Apr-Sep''25'!BU70</f>
        <v>15</v>
      </c>
      <c r="BT70" s="14">
        <f t="shared" si="109"/>
        <v>1</v>
      </c>
      <c r="BU70" s="13">
        <f>'[2]Oct-Dec''25'!BW70+'[2]Apr-Sep''25'!BW70</f>
        <v>0</v>
      </c>
      <c r="BV70" s="13">
        <f>'[2]Oct-Dec''25'!BX70+'[2]Apr-Sep''25'!BX70</f>
        <v>0</v>
      </c>
      <c r="BW70" s="14">
        <f t="shared" si="110"/>
        <v>0</v>
      </c>
      <c r="BX70" s="13">
        <f>'[2]Oct-Dec''25'!BZ70+'[2]Apr-Sep''25'!BZ70</f>
        <v>295</v>
      </c>
      <c r="BY70" s="13">
        <f>'[2]Oct-Dec''25'!CA70+'[2]Apr-Sep''25'!CA70</f>
        <v>295</v>
      </c>
      <c r="BZ70" s="14">
        <f t="shared" si="111"/>
        <v>1</v>
      </c>
      <c r="CA70" s="13">
        <f>'[2]Oct-Dec''25'!CC70+'[2]Apr-Sep''25'!CC70</f>
        <v>148</v>
      </c>
      <c r="CB70" s="13">
        <f>'[2]Oct-Dec''25'!CD70+'[2]Apr-Sep''25'!CD70</f>
        <v>145</v>
      </c>
      <c r="CC70" s="14">
        <f t="shared" si="112"/>
        <v>0.97972972972972971</v>
      </c>
      <c r="CD70" s="13">
        <f>'[2]Oct-Dec''25'!CF70+'[2]Apr-Sep''25'!CF70</f>
        <v>0</v>
      </c>
      <c r="CE70" s="13">
        <f>'[2]Oct-Dec''25'!CG70+'[2]Apr-Sep''25'!CG70</f>
        <v>0</v>
      </c>
      <c r="CF70" s="14">
        <f t="shared" si="113"/>
        <v>0</v>
      </c>
    </row>
    <row r="71" spans="1:84" x14ac:dyDescent="0.25">
      <c r="A71" s="12">
        <f>'[2]Oct-Dec''25'!A71</f>
        <v>65</v>
      </c>
      <c r="B71" s="12" t="str">
        <f>'[2]Oct-Dec''25'!B71</f>
        <v>UPNP+</v>
      </c>
      <c r="C71" s="1" t="str">
        <f>'[2]Oct-Dec''25'!C71</f>
        <v>Uttar Pradesh</v>
      </c>
      <c r="D71" s="3" t="str">
        <f>'[2]Oct-Dec''25'!D71</f>
        <v>MAUNP+</v>
      </c>
      <c r="E71" s="1" t="str">
        <f>'[2]Oct-Dec''25'!E71</f>
        <v>MAU</v>
      </c>
      <c r="F71" s="12" t="s">
        <v>85</v>
      </c>
      <c r="G71" s="13">
        <f>'[2]Oct-Dec''25'!H71+'[2]Apr-Sep''25'!H71</f>
        <v>340</v>
      </c>
      <c r="H71" s="13">
        <f>'[2]Oct-Dec''25'!I71+'[2]Apr-Sep''25'!I71</f>
        <v>249</v>
      </c>
      <c r="I71" s="7">
        <f t="shared" ref="I71:I82" si="114">H71/G71</f>
        <v>0.73235294117647054</v>
      </c>
      <c r="J71" s="13">
        <f>'[2]Oct-Dec''25'!K71+'[2]Apr-Sep''25'!K71</f>
        <v>0</v>
      </c>
      <c r="K71" s="13">
        <f>'[2]Oct-Dec''25'!L71+'[2]Apr-Sep''25'!L71</f>
        <v>0</v>
      </c>
      <c r="L71" s="7"/>
      <c r="M71" s="13">
        <f>'[2]Oct-Dec''25'!N71+'[2]Apr-Sep''25'!N71</f>
        <v>294</v>
      </c>
      <c r="N71" s="13">
        <f>'[2]Oct-Dec''25'!O71+'[2]Apr-Sep''25'!O71</f>
        <v>294</v>
      </c>
      <c r="O71" s="8">
        <f t="shared" ref="O71:O82" si="115">N71/M71</f>
        <v>1</v>
      </c>
      <c r="P71" s="13">
        <f>'[2]Oct-Dec''25'!Q71+'[2]Apr-Sep''25'!Q71</f>
        <v>185</v>
      </c>
      <c r="Q71" s="13">
        <f>'[2]Oct-Dec''25'!R71+'[2]Apr-Sep''25'!R71</f>
        <v>149</v>
      </c>
      <c r="R71" s="8">
        <f t="shared" ref="R71:R82" si="116">Q71/P71</f>
        <v>0.80540540540540539</v>
      </c>
      <c r="S71" s="13">
        <f>'[2]Oct-Dec''25'!T71+'[2]Apr-Sep''25'!T71</f>
        <v>2139</v>
      </c>
      <c r="T71" s="13">
        <f>'[2]Oct-Dec''25'!U71+'[2]Apr-Sep''25'!U71</f>
        <v>1643</v>
      </c>
      <c r="U71" s="8">
        <f t="shared" ref="U71:U82" si="117">T71/S71</f>
        <v>0.76811594202898548</v>
      </c>
      <c r="V71" s="13">
        <f>'[2]Oct-Dec''25'!W71+'[2]Apr-Sep''25'!W71</f>
        <v>419</v>
      </c>
      <c r="W71" s="13">
        <f>'[2]Oct-Dec''25'!Y71+'[2]Apr-Sep''25'!Y71</f>
        <v>345</v>
      </c>
      <c r="X71" s="8">
        <f t="shared" ref="X71:X82" si="118">W71/V71</f>
        <v>0.8233890214797136</v>
      </c>
      <c r="Y71" s="13">
        <f>'[2]Oct-Dec''25'!AA71+'[2]Apr-Sep''25'!AA71</f>
        <v>90</v>
      </c>
      <c r="Z71" s="13">
        <f>'[2]Oct-Dec''25'!AB71+'[2]Apr-Sep''25'!AB71</f>
        <v>90</v>
      </c>
      <c r="AA71" s="8">
        <f t="shared" ref="AA71:AA82" si="119">Z71/Y71</f>
        <v>1</v>
      </c>
      <c r="AB71" s="13">
        <f>'[2]Oct-Dec''25'!AD71+'[2]Apr-Sep''25'!AD71</f>
        <v>57</v>
      </c>
      <c r="AC71" s="13">
        <f>'[2]Oct-Dec''25'!AE71+'[2]Apr-Sep''25'!AE71</f>
        <v>37</v>
      </c>
      <c r="AD71" s="8">
        <f t="shared" ref="AD71:AD82" si="120">AC71/AB71</f>
        <v>0.64912280701754388</v>
      </c>
      <c r="AE71" s="13">
        <f>'[2]Oct-Dec''25'!AJ71+'[2]Apr-Sep''25'!AJ71</f>
        <v>537</v>
      </c>
      <c r="AF71" s="13">
        <f>'[2]Oct-Dec''25'!AK71+'[2]Apr-Sep''25'!AK71</f>
        <v>424</v>
      </c>
      <c r="AG71" s="8">
        <f t="shared" ref="AG71:AG82" si="121">AF71/AE71</f>
        <v>0.78957169459962762</v>
      </c>
      <c r="AH71" s="13">
        <f>'[2]Oct-Dec''25'!AM71+'[2]Apr-Sep''25'!AM71</f>
        <v>0</v>
      </c>
      <c r="AI71" s="13">
        <f>'[2]Oct-Dec''25'!AN71+'[2]Apr-Sep''25'!AN71</f>
        <v>0</v>
      </c>
      <c r="AJ71" s="8" t="e">
        <f t="shared" ref="AJ71:AJ82" si="122">AI71/AH71</f>
        <v>#DIV/0!</v>
      </c>
      <c r="AK71" s="13">
        <f>'[2]Oct-Dec''25'!AP71+'[2]Apr-Sep''25'!AP71</f>
        <v>44</v>
      </c>
      <c r="AL71" s="13">
        <f>'[2]Oct-Dec''25'!AQ71+'[2]Apr-Sep''25'!AQ71</f>
        <v>30</v>
      </c>
      <c r="AM71" s="8">
        <f t="shared" ref="AM71:AM82" si="123">AL71/AK71</f>
        <v>0.68181818181818177</v>
      </c>
      <c r="AN71" s="13">
        <f>'[2]Oct-Dec''25'!AS71+'[2]Apr-Sep''25'!AS71</f>
        <v>13</v>
      </c>
      <c r="AO71" s="13">
        <f>'[2]Oct-Dec''25'!AT71+'[2]Apr-Sep''25'!AT71</f>
        <v>10</v>
      </c>
      <c r="AP71" s="8">
        <f t="shared" ref="AP71:AP82" si="124">AO71/AN71</f>
        <v>0.76923076923076927</v>
      </c>
      <c r="AQ71" s="13">
        <f>'[2]Oct-Dec''25'!AV71+'[2]Apr-Sep''25'!AV71</f>
        <v>0</v>
      </c>
      <c r="AR71" s="13">
        <f>'[2]Oct-Dec''25'!AW71+'[2]Apr-Sep''25'!AW71</f>
        <v>0</v>
      </c>
      <c r="AS71" s="8" t="e">
        <f t="shared" ref="AS71:AS82" si="125">AR71/AQ71</f>
        <v>#DIV/0!</v>
      </c>
      <c r="AT71" s="13">
        <f>'[2]Oct-Dec''25'!AY71+'[2]Apr-Sep''25'!AY71</f>
        <v>16</v>
      </c>
      <c r="AU71" s="13">
        <f>'[2]Oct-Dec''25'!AZ71+'[2]Apr-Sep''25'!AZ71</f>
        <v>20</v>
      </c>
      <c r="AV71" s="8">
        <f t="shared" ref="AV71:AV82" si="126">AU71/AT71</f>
        <v>1.25</v>
      </c>
      <c r="AW71" s="9">
        <f t="shared" ref="AW71:AW82" si="127">AN71+AQ71+AT71</f>
        <v>29</v>
      </c>
      <c r="AX71" s="9">
        <f t="shared" ref="AX71:AX82" si="128">AO71+AR71+AU71</f>
        <v>30</v>
      </c>
      <c r="AY71" s="8">
        <f t="shared" ref="AY71:AY82" si="129">AX71/AW71</f>
        <v>1.0344827586206897</v>
      </c>
      <c r="AZ71" s="13">
        <f>'[2]Oct-Dec''25'!BB71+'[2]Apr-Sep''25'!BB71</f>
        <v>43</v>
      </c>
      <c r="BA71" s="13">
        <f>'[2]Oct-Dec''25'!BC71+'[2]Apr-Sep''25'!BC71</f>
        <v>42</v>
      </c>
      <c r="BB71" s="14">
        <f t="shared" ref="BB71:BB82" si="130">IFERROR(BA71/AZ71,0)</f>
        <v>0.97674418604651159</v>
      </c>
      <c r="BC71" s="13">
        <f>'[2]Oct-Dec''25'!BE71+'[2]Apr-Sep''25'!BE71</f>
        <v>12</v>
      </c>
      <c r="BD71" s="13">
        <f>'[2]Oct-Dec''25'!BF71+'[2]Apr-Sep''25'!BF71</f>
        <v>12</v>
      </c>
      <c r="BE71" s="14">
        <f t="shared" ref="BE71:BE82" si="131">IFERROR(BD71/BC71,0)</f>
        <v>1</v>
      </c>
      <c r="BF71" s="13">
        <f>'[2]Oct-Dec''25'!BH71+'[2]Apr-Sep''25'!BH71</f>
        <v>19</v>
      </c>
      <c r="BG71" s="13">
        <f>'[2]Oct-Dec''25'!BI71+'[2]Apr-Sep''25'!BI71</f>
        <v>17</v>
      </c>
      <c r="BH71" s="14">
        <f t="shared" ref="BH71:BH82" si="132">IFERROR(BG71/BF71,0)</f>
        <v>0.89473684210526316</v>
      </c>
      <c r="BI71" s="13">
        <f>'[2]Oct-Dec''25'!BK71+'[2]Apr-Sep''25'!BK71</f>
        <v>16</v>
      </c>
      <c r="BJ71" s="13">
        <f>'[2]Oct-Dec''25'!BL71+'[2]Apr-Sep''25'!BL71</f>
        <v>16</v>
      </c>
      <c r="BK71" s="15">
        <f t="shared" ref="BK71:BK82" si="133">IFERROR(BJ71/BI71,0)</f>
        <v>1</v>
      </c>
      <c r="BL71" s="13">
        <f>'[2]Oct-Dec''25'!BN71+'[2]Apr-Sep''25'!BN71</f>
        <v>17</v>
      </c>
      <c r="BM71" s="13">
        <f>'[2]Oct-Dec''25'!BO71+'[2]Apr-Sep''25'!BO71</f>
        <v>17</v>
      </c>
      <c r="BN71" s="15">
        <f t="shared" ref="BN71:BN82" si="134">IFERROR(BM71/BL71,0)</f>
        <v>1</v>
      </c>
      <c r="BO71" s="13">
        <f>'[2]Oct-Dec''25'!BQ71+'[2]Apr-Sep''25'!BQ71</f>
        <v>5</v>
      </c>
      <c r="BP71" s="13">
        <f>'[2]Oct-Dec''25'!BR71+'[2]Apr-Sep''25'!BR71</f>
        <v>4</v>
      </c>
      <c r="BQ71" s="15">
        <f t="shared" ref="BQ71:BQ82" si="135">IFERROR(BP71/BO71,0)</f>
        <v>0.8</v>
      </c>
      <c r="BR71" s="13">
        <f>'[2]Oct-Dec''25'!BT71+'[2]Apr-Sep''25'!BT71</f>
        <v>8</v>
      </c>
      <c r="BS71" s="13">
        <f>'[2]Oct-Dec''25'!BU71+'[2]Apr-Sep''25'!BU71</f>
        <v>8</v>
      </c>
      <c r="BT71" s="14">
        <f t="shared" ref="BT71:BT82" si="136">IFERROR(BS71/BR71,0)</f>
        <v>1</v>
      </c>
      <c r="BU71" s="13">
        <f>'[2]Oct-Dec''25'!BW71+'[2]Apr-Sep''25'!BW71</f>
        <v>0</v>
      </c>
      <c r="BV71" s="13">
        <f>'[2]Oct-Dec''25'!BX71+'[2]Apr-Sep''25'!BX71</f>
        <v>0</v>
      </c>
      <c r="BW71" s="14">
        <f t="shared" ref="BW71:BW82" si="137">IFERROR(BV71/BU71,0)</f>
        <v>0</v>
      </c>
      <c r="BX71" s="13">
        <f>'[2]Oct-Dec''25'!BZ71+'[2]Apr-Sep''25'!BZ71</f>
        <v>249</v>
      </c>
      <c r="BY71" s="13">
        <f>'[2]Oct-Dec''25'!CA71+'[2]Apr-Sep''25'!CA71</f>
        <v>249</v>
      </c>
      <c r="BZ71" s="14">
        <f t="shared" ref="BZ71:BZ82" si="138">IFERROR(BY71/BX71,0)</f>
        <v>1</v>
      </c>
      <c r="CA71" s="13">
        <f>'[2]Oct-Dec''25'!CC71+'[2]Apr-Sep''25'!CC71</f>
        <v>233</v>
      </c>
      <c r="CB71" s="13">
        <f>'[2]Oct-Dec''25'!CD71+'[2]Apr-Sep''25'!CD71</f>
        <v>222</v>
      </c>
      <c r="CC71" s="14">
        <f t="shared" ref="CC71:CC82" si="139">IFERROR(CB71/CA71,0)</f>
        <v>0.9527896995708155</v>
      </c>
      <c r="CD71" s="13">
        <f>'[2]Oct-Dec''25'!CF71+'[2]Apr-Sep''25'!CF71</f>
        <v>31</v>
      </c>
      <c r="CE71" s="13">
        <f>'[2]Oct-Dec''25'!CG71+'[2]Apr-Sep''25'!CG71</f>
        <v>31</v>
      </c>
      <c r="CF71" s="14">
        <f t="shared" ref="CF71:CF82" si="140">IFERROR(CE71/CD71,0)</f>
        <v>1</v>
      </c>
    </row>
    <row r="72" spans="1:84" ht="24" x14ac:dyDescent="0.25">
      <c r="A72" s="12">
        <f>'[2]Oct-Dec''25'!A72</f>
        <v>66</v>
      </c>
      <c r="B72" s="12" t="str">
        <f>'[2]Oct-Dec''25'!B72</f>
        <v>UPNP+</v>
      </c>
      <c r="C72" s="1" t="str">
        <f>'[2]Oct-Dec''25'!C72</f>
        <v>Uttar Pradesh</v>
      </c>
      <c r="D72" s="3" t="str">
        <f>'[2]Oct-Dec''25'!D72</f>
        <v>POSITIVE WOMEN NETWORK SOCIETY</v>
      </c>
      <c r="E72" s="1" t="str">
        <f>'[2]Oct-Dec''25'!E72</f>
        <v>AYODHYA</v>
      </c>
      <c r="F72" s="12" t="s">
        <v>85</v>
      </c>
      <c r="G72" s="13">
        <f>'[2]Oct-Dec''25'!H72+'[2]Apr-Sep''25'!H72</f>
        <v>490</v>
      </c>
      <c r="H72" s="13">
        <f>'[2]Oct-Dec''25'!I72+'[2]Apr-Sep''25'!I72</f>
        <v>384</v>
      </c>
      <c r="I72" s="7">
        <f t="shared" si="114"/>
        <v>0.78367346938775506</v>
      </c>
      <c r="J72" s="13">
        <f>'[2]Oct-Dec''25'!K72+'[2]Apr-Sep''25'!K72</f>
        <v>1</v>
      </c>
      <c r="K72" s="13">
        <f>'[2]Oct-Dec''25'!L72+'[2]Apr-Sep''25'!L72</f>
        <v>1</v>
      </c>
      <c r="L72" s="7">
        <f>K72/J72</f>
        <v>1</v>
      </c>
      <c r="M72" s="13">
        <f>'[2]Oct-Dec''25'!N72+'[2]Apr-Sep''25'!N72</f>
        <v>465</v>
      </c>
      <c r="N72" s="13">
        <f>'[2]Oct-Dec''25'!O72+'[2]Apr-Sep''25'!O72</f>
        <v>465</v>
      </c>
      <c r="O72" s="8">
        <f t="shared" si="115"/>
        <v>1</v>
      </c>
      <c r="P72" s="13">
        <f>'[2]Oct-Dec''25'!Q72+'[2]Apr-Sep''25'!Q72</f>
        <v>311</v>
      </c>
      <c r="Q72" s="13">
        <f>'[2]Oct-Dec''25'!R72+'[2]Apr-Sep''25'!R72</f>
        <v>257</v>
      </c>
      <c r="R72" s="8">
        <f t="shared" si="116"/>
        <v>0.82636655948553051</v>
      </c>
      <c r="S72" s="13">
        <f>'[2]Oct-Dec''25'!T72+'[2]Apr-Sep''25'!T72</f>
        <v>2040</v>
      </c>
      <c r="T72" s="13">
        <f>'[2]Oct-Dec''25'!U72+'[2]Apr-Sep''25'!U72</f>
        <v>1564</v>
      </c>
      <c r="U72" s="8">
        <f t="shared" si="117"/>
        <v>0.76666666666666672</v>
      </c>
      <c r="V72" s="13">
        <f>'[2]Oct-Dec''25'!W72+'[2]Apr-Sep''25'!W72</f>
        <v>457</v>
      </c>
      <c r="W72" s="13">
        <f>'[2]Oct-Dec''25'!Y72+'[2]Apr-Sep''25'!Y72</f>
        <v>422</v>
      </c>
      <c r="X72" s="8">
        <f t="shared" si="118"/>
        <v>0.92341356673960617</v>
      </c>
      <c r="Y72" s="13">
        <f>'[2]Oct-Dec''25'!AA72+'[2]Apr-Sep''25'!AA72</f>
        <v>60</v>
      </c>
      <c r="Z72" s="13">
        <f>'[2]Oct-Dec''25'!AB72+'[2]Apr-Sep''25'!AB72</f>
        <v>60</v>
      </c>
      <c r="AA72" s="8">
        <f t="shared" si="119"/>
        <v>1</v>
      </c>
      <c r="AB72" s="13">
        <f>'[2]Oct-Dec''25'!AD72+'[2]Apr-Sep''25'!AD72</f>
        <v>186</v>
      </c>
      <c r="AC72" s="13">
        <f>'[2]Oct-Dec''25'!AE72+'[2]Apr-Sep''25'!AE72</f>
        <v>83</v>
      </c>
      <c r="AD72" s="8">
        <f t="shared" si="120"/>
        <v>0.44623655913978494</v>
      </c>
      <c r="AE72" s="13">
        <f>'[2]Oct-Dec''25'!AJ72+'[2]Apr-Sep''25'!AJ72</f>
        <v>326</v>
      </c>
      <c r="AF72" s="13">
        <f>'[2]Oct-Dec''25'!AK72+'[2]Apr-Sep''25'!AK72</f>
        <v>373</v>
      </c>
      <c r="AG72" s="8">
        <f t="shared" si="121"/>
        <v>1.1441717791411044</v>
      </c>
      <c r="AH72" s="13">
        <f>'[2]Oct-Dec''25'!AM72+'[2]Apr-Sep''25'!AM72</f>
        <v>0</v>
      </c>
      <c r="AI72" s="13">
        <f>'[2]Oct-Dec''25'!AN72+'[2]Apr-Sep''25'!AN72</f>
        <v>0</v>
      </c>
      <c r="AJ72" s="8" t="e">
        <f t="shared" si="122"/>
        <v>#DIV/0!</v>
      </c>
      <c r="AK72" s="13">
        <f>'[2]Oct-Dec''25'!AP72+'[2]Apr-Sep''25'!AP72</f>
        <v>71</v>
      </c>
      <c r="AL72" s="13">
        <f>'[2]Oct-Dec''25'!AQ72+'[2]Apr-Sep''25'!AQ72</f>
        <v>57</v>
      </c>
      <c r="AM72" s="8">
        <f t="shared" si="123"/>
        <v>0.80281690140845074</v>
      </c>
      <c r="AN72" s="13">
        <f>'[2]Oct-Dec''25'!AS72+'[2]Apr-Sep''25'!AS72</f>
        <v>19</v>
      </c>
      <c r="AO72" s="13">
        <f>'[2]Oct-Dec''25'!AT72+'[2]Apr-Sep''25'!AT72</f>
        <v>19</v>
      </c>
      <c r="AP72" s="8">
        <f t="shared" si="124"/>
        <v>1</v>
      </c>
      <c r="AQ72" s="13">
        <f>'[2]Oct-Dec''25'!AV72+'[2]Apr-Sep''25'!AV72</f>
        <v>0</v>
      </c>
      <c r="AR72" s="13">
        <f>'[2]Oct-Dec''25'!AW72+'[2]Apr-Sep''25'!AW72</f>
        <v>0</v>
      </c>
      <c r="AS72" s="8" t="e">
        <f t="shared" si="125"/>
        <v>#DIV/0!</v>
      </c>
      <c r="AT72" s="13">
        <f>'[2]Oct-Dec''25'!AY72+'[2]Apr-Sep''25'!AY72</f>
        <v>28</v>
      </c>
      <c r="AU72" s="13">
        <f>'[2]Oct-Dec''25'!AZ72+'[2]Apr-Sep''25'!AZ72</f>
        <v>30</v>
      </c>
      <c r="AV72" s="8">
        <f t="shared" si="126"/>
        <v>1.0714285714285714</v>
      </c>
      <c r="AW72" s="9">
        <f t="shared" si="127"/>
        <v>47</v>
      </c>
      <c r="AX72" s="9">
        <f t="shared" si="128"/>
        <v>49</v>
      </c>
      <c r="AY72" s="8">
        <f t="shared" si="129"/>
        <v>1.0425531914893618</v>
      </c>
      <c r="AZ72" s="13">
        <f>'[2]Oct-Dec''25'!BB72+'[2]Apr-Sep''25'!BB72</f>
        <v>57</v>
      </c>
      <c r="BA72" s="13">
        <f>'[2]Oct-Dec''25'!BC72+'[2]Apr-Sep''25'!BC72</f>
        <v>364</v>
      </c>
      <c r="BB72" s="14">
        <f t="shared" si="130"/>
        <v>6.3859649122807021</v>
      </c>
      <c r="BC72" s="13">
        <f>'[2]Oct-Dec''25'!BE72+'[2]Apr-Sep''25'!BE72</f>
        <v>31</v>
      </c>
      <c r="BD72" s="13">
        <f>'[2]Oct-Dec''25'!BF72+'[2]Apr-Sep''25'!BF72</f>
        <v>31</v>
      </c>
      <c r="BE72" s="14">
        <f t="shared" si="131"/>
        <v>1</v>
      </c>
      <c r="BF72" s="13">
        <f>'[2]Oct-Dec''25'!BH72+'[2]Apr-Sep''25'!BH72</f>
        <v>21</v>
      </c>
      <c r="BG72" s="13">
        <f>'[2]Oct-Dec''25'!BI72+'[2]Apr-Sep''25'!BI72</f>
        <v>20</v>
      </c>
      <c r="BH72" s="14">
        <f t="shared" si="132"/>
        <v>0.95238095238095233</v>
      </c>
      <c r="BI72" s="13">
        <f>'[2]Oct-Dec''25'!BK72+'[2]Apr-Sep''25'!BK72</f>
        <v>15</v>
      </c>
      <c r="BJ72" s="13">
        <f>'[2]Oct-Dec''25'!BL72+'[2]Apr-Sep''25'!BL72</f>
        <v>13</v>
      </c>
      <c r="BK72" s="15">
        <f t="shared" si="133"/>
        <v>0.8666666666666667</v>
      </c>
      <c r="BL72" s="13">
        <f>'[2]Oct-Dec''25'!BN72+'[2]Apr-Sep''25'!BN72</f>
        <v>14</v>
      </c>
      <c r="BM72" s="13">
        <f>'[2]Oct-Dec''25'!BO72+'[2]Apr-Sep''25'!BO72</f>
        <v>14</v>
      </c>
      <c r="BN72" s="15">
        <f t="shared" si="134"/>
        <v>1</v>
      </c>
      <c r="BO72" s="13">
        <f>'[2]Oct-Dec''25'!BQ72+'[2]Apr-Sep''25'!BQ72</f>
        <v>23</v>
      </c>
      <c r="BP72" s="13">
        <f>'[2]Oct-Dec''25'!BR72+'[2]Apr-Sep''25'!BR72</f>
        <v>23</v>
      </c>
      <c r="BQ72" s="15">
        <f t="shared" si="135"/>
        <v>1</v>
      </c>
      <c r="BR72" s="13">
        <f>'[2]Oct-Dec''25'!BT72+'[2]Apr-Sep''25'!BT72</f>
        <v>12</v>
      </c>
      <c r="BS72" s="13">
        <f>'[2]Oct-Dec''25'!BU72+'[2]Apr-Sep''25'!BU72</f>
        <v>12</v>
      </c>
      <c r="BT72" s="14">
        <f t="shared" si="136"/>
        <v>1</v>
      </c>
      <c r="BU72" s="13">
        <f>'[2]Oct-Dec''25'!BW72+'[2]Apr-Sep''25'!BW72</f>
        <v>0</v>
      </c>
      <c r="BV72" s="13">
        <f>'[2]Oct-Dec''25'!BX72+'[2]Apr-Sep''25'!BX72</f>
        <v>0</v>
      </c>
      <c r="BW72" s="14">
        <f t="shared" si="137"/>
        <v>0</v>
      </c>
      <c r="BX72" s="13">
        <f>'[2]Oct-Dec''25'!BZ72+'[2]Apr-Sep''25'!BZ72</f>
        <v>384</v>
      </c>
      <c r="BY72" s="13">
        <f>'[2]Oct-Dec''25'!CA72+'[2]Apr-Sep''25'!CA72</f>
        <v>382</v>
      </c>
      <c r="BZ72" s="14">
        <f t="shared" si="138"/>
        <v>0.99479166666666663</v>
      </c>
      <c r="CA72" s="13">
        <f>'[2]Oct-Dec''25'!CC72+'[2]Apr-Sep''25'!CC72</f>
        <v>346</v>
      </c>
      <c r="CB72" s="13">
        <f>'[2]Oct-Dec''25'!CD72+'[2]Apr-Sep''25'!CD72</f>
        <v>343</v>
      </c>
      <c r="CC72" s="14">
        <f t="shared" si="139"/>
        <v>0.99132947976878616</v>
      </c>
      <c r="CD72" s="13">
        <f>'[2]Oct-Dec''25'!CF72+'[2]Apr-Sep''25'!CF72</f>
        <v>0</v>
      </c>
      <c r="CE72" s="13">
        <f>'[2]Oct-Dec''25'!CG72+'[2]Apr-Sep''25'!CG72</f>
        <v>0</v>
      </c>
      <c r="CF72" s="14">
        <f t="shared" si="140"/>
        <v>0</v>
      </c>
    </row>
    <row r="73" spans="1:84" ht="24" x14ac:dyDescent="0.25">
      <c r="A73" s="12">
        <f>'[2]Oct-Dec''25'!A73</f>
        <v>67</v>
      </c>
      <c r="B73" s="12" t="str">
        <f>'[2]Oct-Dec''25'!B73</f>
        <v>UPNP+</v>
      </c>
      <c r="C73" s="1" t="str">
        <f>'[2]Oct-Dec''25'!C73</f>
        <v>Uttar Pradesh</v>
      </c>
      <c r="D73" s="3" t="str">
        <f>'[2]Oct-Dec''25'!D73</f>
        <v>AGRA POSITIVE WELFARE SOCIETY</v>
      </c>
      <c r="E73" s="1" t="str">
        <f>'[2]Oct-Dec''25'!E73</f>
        <v>JHANSI</v>
      </c>
      <c r="F73" s="12" t="s">
        <v>85</v>
      </c>
      <c r="G73" s="13">
        <f>'[2]Oct-Dec''25'!H73+'[2]Apr-Sep''25'!H73</f>
        <v>289</v>
      </c>
      <c r="H73" s="13">
        <f>'[2]Oct-Dec''25'!I73+'[2]Apr-Sep''25'!I73</f>
        <v>230</v>
      </c>
      <c r="I73" s="7">
        <f t="shared" si="114"/>
        <v>0.79584775086505188</v>
      </c>
      <c r="J73" s="13">
        <f>'[2]Oct-Dec''25'!K73+'[2]Apr-Sep''25'!K73</f>
        <v>10</v>
      </c>
      <c r="K73" s="13">
        <f>'[2]Oct-Dec''25'!L73+'[2]Apr-Sep''25'!L73</f>
        <v>10</v>
      </c>
      <c r="L73" s="7">
        <f>K73/J73</f>
        <v>1</v>
      </c>
      <c r="M73" s="13">
        <f>'[2]Oct-Dec''25'!N73+'[2]Apr-Sep''25'!N73</f>
        <v>226</v>
      </c>
      <c r="N73" s="13">
        <f>'[2]Oct-Dec''25'!O73+'[2]Apr-Sep''25'!O73</f>
        <v>226</v>
      </c>
      <c r="O73" s="8">
        <f t="shared" si="115"/>
        <v>1</v>
      </c>
      <c r="P73" s="13">
        <f>'[2]Oct-Dec''25'!Q73+'[2]Apr-Sep''25'!Q73</f>
        <v>200</v>
      </c>
      <c r="Q73" s="13">
        <f>'[2]Oct-Dec''25'!R73+'[2]Apr-Sep''25'!R73</f>
        <v>153</v>
      </c>
      <c r="R73" s="8">
        <f t="shared" si="116"/>
        <v>0.76500000000000001</v>
      </c>
      <c r="S73" s="13">
        <f>'[2]Oct-Dec''25'!T73+'[2]Apr-Sep''25'!T73</f>
        <v>1476</v>
      </c>
      <c r="T73" s="13">
        <f>'[2]Oct-Dec''25'!U73+'[2]Apr-Sep''25'!U73</f>
        <v>1101</v>
      </c>
      <c r="U73" s="8">
        <f t="shared" si="117"/>
        <v>0.74593495934959353</v>
      </c>
      <c r="V73" s="13">
        <f>'[2]Oct-Dec''25'!W73+'[2]Apr-Sep''25'!W73</f>
        <v>508</v>
      </c>
      <c r="W73" s="13">
        <f>'[2]Oct-Dec''25'!Y73+'[2]Apr-Sep''25'!Y73</f>
        <v>354</v>
      </c>
      <c r="X73" s="8">
        <f t="shared" si="118"/>
        <v>0.69685039370078738</v>
      </c>
      <c r="Y73" s="13">
        <f>'[2]Oct-Dec''25'!AA73+'[2]Apr-Sep''25'!AA73</f>
        <v>71</v>
      </c>
      <c r="Z73" s="13">
        <f>'[2]Oct-Dec''25'!AB73+'[2]Apr-Sep''25'!AB73</f>
        <v>71</v>
      </c>
      <c r="AA73" s="8">
        <f t="shared" si="119"/>
        <v>1</v>
      </c>
      <c r="AB73" s="13">
        <f>'[2]Oct-Dec''25'!AD73+'[2]Apr-Sep''25'!AD73</f>
        <v>73</v>
      </c>
      <c r="AC73" s="13">
        <f>'[2]Oct-Dec''25'!AE73+'[2]Apr-Sep''25'!AE73</f>
        <v>33</v>
      </c>
      <c r="AD73" s="8">
        <f t="shared" si="120"/>
        <v>0.45205479452054792</v>
      </c>
      <c r="AE73" s="13">
        <f>'[2]Oct-Dec''25'!AJ73+'[2]Apr-Sep''25'!AJ73</f>
        <v>433</v>
      </c>
      <c r="AF73" s="13">
        <f>'[2]Oct-Dec''25'!AK73+'[2]Apr-Sep''25'!AK73</f>
        <v>418</v>
      </c>
      <c r="AG73" s="8">
        <f t="shared" si="121"/>
        <v>0.96535796766743653</v>
      </c>
      <c r="AH73" s="13">
        <f>'[2]Oct-Dec''25'!AM73+'[2]Apr-Sep''25'!AM73</f>
        <v>0</v>
      </c>
      <c r="AI73" s="13">
        <f>'[2]Oct-Dec''25'!AN73+'[2]Apr-Sep''25'!AN73</f>
        <v>0</v>
      </c>
      <c r="AJ73" s="8" t="e">
        <f t="shared" si="122"/>
        <v>#DIV/0!</v>
      </c>
      <c r="AK73" s="13">
        <f>'[2]Oct-Dec''25'!AP73+'[2]Apr-Sep''25'!AP73</f>
        <v>68</v>
      </c>
      <c r="AL73" s="13">
        <f>'[2]Oct-Dec''25'!AQ73+'[2]Apr-Sep''25'!AQ73</f>
        <v>58</v>
      </c>
      <c r="AM73" s="8">
        <f t="shared" si="123"/>
        <v>0.8529411764705882</v>
      </c>
      <c r="AN73" s="13">
        <f>'[2]Oct-Dec''25'!AS73+'[2]Apr-Sep''25'!AS73</f>
        <v>27</v>
      </c>
      <c r="AO73" s="13">
        <f>'[2]Oct-Dec''25'!AT73+'[2]Apr-Sep''25'!AT73</f>
        <v>13</v>
      </c>
      <c r="AP73" s="8">
        <f t="shared" si="124"/>
        <v>0.48148148148148145</v>
      </c>
      <c r="AQ73" s="13">
        <f>'[2]Oct-Dec''25'!AV73+'[2]Apr-Sep''25'!AV73</f>
        <v>0</v>
      </c>
      <c r="AR73" s="13">
        <f>'[2]Oct-Dec''25'!AW73+'[2]Apr-Sep''25'!AW73</f>
        <v>0</v>
      </c>
      <c r="AS73" s="8" t="e">
        <f t="shared" si="125"/>
        <v>#DIV/0!</v>
      </c>
      <c r="AT73" s="13">
        <f>'[2]Oct-Dec''25'!AY73+'[2]Apr-Sep''25'!AY73</f>
        <v>43</v>
      </c>
      <c r="AU73" s="13">
        <f>'[2]Oct-Dec''25'!AZ73+'[2]Apr-Sep''25'!AZ73</f>
        <v>16</v>
      </c>
      <c r="AV73" s="8">
        <f t="shared" si="126"/>
        <v>0.37209302325581395</v>
      </c>
      <c r="AW73" s="9">
        <f t="shared" si="127"/>
        <v>70</v>
      </c>
      <c r="AX73" s="9">
        <f t="shared" si="128"/>
        <v>29</v>
      </c>
      <c r="AY73" s="8">
        <f t="shared" si="129"/>
        <v>0.41428571428571431</v>
      </c>
      <c r="AZ73" s="13">
        <f>'[2]Oct-Dec''25'!BB73+'[2]Apr-Sep''25'!BB73</f>
        <v>12</v>
      </c>
      <c r="BA73" s="13">
        <f>'[2]Oct-Dec''25'!BC73+'[2]Apr-Sep''25'!BC73</f>
        <v>93</v>
      </c>
      <c r="BB73" s="14">
        <f t="shared" si="130"/>
        <v>7.75</v>
      </c>
      <c r="BC73" s="13">
        <f>'[2]Oct-Dec''25'!BE73+'[2]Apr-Sep''25'!BE73</f>
        <v>11</v>
      </c>
      <c r="BD73" s="13">
        <f>'[2]Oct-Dec''25'!BF73+'[2]Apr-Sep''25'!BF73</f>
        <v>11</v>
      </c>
      <c r="BE73" s="14">
        <f t="shared" si="131"/>
        <v>1</v>
      </c>
      <c r="BF73" s="13">
        <f>'[2]Oct-Dec''25'!BH73+'[2]Apr-Sep''25'!BH73</f>
        <v>35</v>
      </c>
      <c r="BG73" s="13">
        <f>'[2]Oct-Dec''25'!BI73+'[2]Apr-Sep''25'!BI73</f>
        <v>33</v>
      </c>
      <c r="BH73" s="14">
        <f t="shared" si="132"/>
        <v>0.94285714285714284</v>
      </c>
      <c r="BI73" s="13">
        <f>'[2]Oct-Dec''25'!BK73+'[2]Apr-Sep''25'!BK73</f>
        <v>0</v>
      </c>
      <c r="BJ73" s="13">
        <f>'[2]Oct-Dec''25'!BL73+'[2]Apr-Sep''25'!BL73</f>
        <v>0</v>
      </c>
      <c r="BK73" s="15">
        <f t="shared" si="133"/>
        <v>0</v>
      </c>
      <c r="BL73" s="13">
        <f>'[2]Oct-Dec''25'!BN73+'[2]Apr-Sep''25'!BN73</f>
        <v>7</v>
      </c>
      <c r="BM73" s="13">
        <f>'[2]Oct-Dec''25'!BO73+'[2]Apr-Sep''25'!BO73</f>
        <v>7</v>
      </c>
      <c r="BN73" s="15">
        <f t="shared" si="134"/>
        <v>1</v>
      </c>
      <c r="BO73" s="13">
        <f>'[2]Oct-Dec''25'!BQ73+'[2]Apr-Sep''25'!BQ73</f>
        <v>1</v>
      </c>
      <c r="BP73" s="13">
        <f>'[2]Oct-Dec''25'!BR73+'[2]Apr-Sep''25'!BR73</f>
        <v>1</v>
      </c>
      <c r="BQ73" s="15">
        <f t="shared" si="135"/>
        <v>1</v>
      </c>
      <c r="BR73" s="13">
        <f>'[2]Oct-Dec''25'!BT73+'[2]Apr-Sep''25'!BT73</f>
        <v>3</v>
      </c>
      <c r="BS73" s="13">
        <f>'[2]Oct-Dec''25'!BU73+'[2]Apr-Sep''25'!BU73</f>
        <v>1</v>
      </c>
      <c r="BT73" s="14">
        <f t="shared" si="136"/>
        <v>0.33333333333333331</v>
      </c>
      <c r="BU73" s="13">
        <f>'[2]Oct-Dec''25'!BW73+'[2]Apr-Sep''25'!BW73</f>
        <v>0</v>
      </c>
      <c r="BV73" s="13">
        <f>'[2]Oct-Dec''25'!BX73+'[2]Apr-Sep''25'!BX73</f>
        <v>0</v>
      </c>
      <c r="BW73" s="14">
        <f t="shared" si="137"/>
        <v>0</v>
      </c>
      <c r="BX73" s="13">
        <f>'[2]Oct-Dec''25'!BZ73+'[2]Apr-Sep''25'!BZ73</f>
        <v>230</v>
      </c>
      <c r="BY73" s="13">
        <f>'[2]Oct-Dec''25'!CA73+'[2]Apr-Sep''25'!CA73</f>
        <v>230</v>
      </c>
      <c r="BZ73" s="14">
        <f t="shared" si="138"/>
        <v>1</v>
      </c>
      <c r="CA73" s="13">
        <f>'[2]Oct-Dec''25'!CC73+'[2]Apr-Sep''25'!CC73</f>
        <v>269</v>
      </c>
      <c r="CB73" s="13">
        <f>'[2]Oct-Dec''25'!CD73+'[2]Apr-Sep''25'!CD73</f>
        <v>281</v>
      </c>
      <c r="CC73" s="14">
        <f t="shared" si="139"/>
        <v>1.0446096654275092</v>
      </c>
      <c r="CD73" s="13">
        <f>'[2]Oct-Dec''25'!CF73+'[2]Apr-Sep''25'!CF73</f>
        <v>67</v>
      </c>
      <c r="CE73" s="13">
        <f>'[2]Oct-Dec''25'!CG73+'[2]Apr-Sep''25'!CG73</f>
        <v>67</v>
      </c>
      <c r="CF73" s="14">
        <f t="shared" si="140"/>
        <v>1</v>
      </c>
    </row>
    <row r="74" spans="1:84" ht="36" x14ac:dyDescent="0.25">
      <c r="A74" s="12">
        <f>'[2]Oct-Dec''25'!A74</f>
        <v>68</v>
      </c>
      <c r="B74" s="12" t="str">
        <f>'[2]Oct-Dec''25'!B74</f>
        <v>UPNP+</v>
      </c>
      <c r="C74" s="1" t="str">
        <f>'[2]Oct-Dec''25'!C74</f>
        <v>Uttar Pradesh</v>
      </c>
      <c r="D74" s="3" t="str">
        <f>'[2]Oct-Dec''25'!D74</f>
        <v>BAREILLY POSITIVE PEOPLE WELFARE SOCIETY</v>
      </c>
      <c r="E74" s="1" t="str">
        <f>'[2]Oct-Dec''25'!E74</f>
        <v>BAREILLY</v>
      </c>
      <c r="F74" s="12" t="s">
        <v>85</v>
      </c>
      <c r="G74" s="13">
        <f>'[2]Oct-Dec''25'!H74+'[2]Apr-Sep''25'!H74</f>
        <v>474</v>
      </c>
      <c r="H74" s="13">
        <f>'[2]Oct-Dec''25'!I74+'[2]Apr-Sep''25'!I74</f>
        <v>314</v>
      </c>
      <c r="I74" s="7">
        <f t="shared" si="114"/>
        <v>0.66244725738396626</v>
      </c>
      <c r="J74" s="13">
        <f>'[2]Oct-Dec''25'!K74+'[2]Apr-Sep''25'!K74</f>
        <v>1</v>
      </c>
      <c r="K74" s="13">
        <f>'[2]Oct-Dec''25'!L74+'[2]Apr-Sep''25'!L74</f>
        <v>1</v>
      </c>
      <c r="L74" s="7">
        <f>K74/J74</f>
        <v>1</v>
      </c>
      <c r="M74" s="13">
        <f>'[2]Oct-Dec''25'!N74+'[2]Apr-Sep''25'!N74</f>
        <v>448</v>
      </c>
      <c r="N74" s="13">
        <f>'[2]Oct-Dec''25'!O74+'[2]Apr-Sep''25'!O74</f>
        <v>448</v>
      </c>
      <c r="O74" s="8">
        <f t="shared" si="115"/>
        <v>1</v>
      </c>
      <c r="P74" s="13">
        <f>'[2]Oct-Dec''25'!Q74+'[2]Apr-Sep''25'!Q74</f>
        <v>372</v>
      </c>
      <c r="Q74" s="13">
        <f>'[2]Oct-Dec''25'!R74+'[2]Apr-Sep''25'!R74</f>
        <v>319</v>
      </c>
      <c r="R74" s="8">
        <f t="shared" si="116"/>
        <v>0.85752688172043012</v>
      </c>
      <c r="S74" s="13">
        <f>'[2]Oct-Dec''25'!T74+'[2]Apr-Sep''25'!T74</f>
        <v>1848</v>
      </c>
      <c r="T74" s="13">
        <f>'[2]Oct-Dec''25'!U74+'[2]Apr-Sep''25'!U74</f>
        <v>1375</v>
      </c>
      <c r="U74" s="8">
        <f t="shared" si="117"/>
        <v>0.74404761904761907</v>
      </c>
      <c r="V74" s="13">
        <f>'[2]Oct-Dec''25'!W74+'[2]Apr-Sep''25'!W74</f>
        <v>754</v>
      </c>
      <c r="W74" s="13">
        <f>'[2]Oct-Dec''25'!Y74+'[2]Apr-Sep''25'!Y74</f>
        <v>420</v>
      </c>
      <c r="X74" s="8">
        <f t="shared" si="118"/>
        <v>0.55702917771883287</v>
      </c>
      <c r="Y74" s="13">
        <f>'[2]Oct-Dec''25'!AA74+'[2]Apr-Sep''25'!AA74</f>
        <v>68</v>
      </c>
      <c r="Z74" s="13">
        <f>'[2]Oct-Dec''25'!AB74+'[2]Apr-Sep''25'!AB74</f>
        <v>68</v>
      </c>
      <c r="AA74" s="8">
        <f t="shared" si="119"/>
        <v>1</v>
      </c>
      <c r="AB74" s="13">
        <f>'[2]Oct-Dec''25'!AD74+'[2]Apr-Sep''25'!AD74</f>
        <v>42</v>
      </c>
      <c r="AC74" s="13">
        <f>'[2]Oct-Dec''25'!AE74+'[2]Apr-Sep''25'!AE74</f>
        <v>27</v>
      </c>
      <c r="AD74" s="8">
        <f t="shared" si="120"/>
        <v>0.6428571428571429</v>
      </c>
      <c r="AE74" s="13">
        <f>'[2]Oct-Dec''25'!AJ74+'[2]Apr-Sep''25'!AJ74</f>
        <v>900</v>
      </c>
      <c r="AF74" s="13">
        <f>'[2]Oct-Dec''25'!AK74+'[2]Apr-Sep''25'!AK74</f>
        <v>813</v>
      </c>
      <c r="AG74" s="8">
        <f t="shared" si="121"/>
        <v>0.90333333333333332</v>
      </c>
      <c r="AH74" s="13">
        <f>'[2]Oct-Dec''25'!AM74+'[2]Apr-Sep''25'!AM74</f>
        <v>0</v>
      </c>
      <c r="AI74" s="13">
        <f>'[2]Oct-Dec''25'!AN74+'[2]Apr-Sep''25'!AN74</f>
        <v>0</v>
      </c>
      <c r="AJ74" s="8" t="e">
        <f t="shared" si="122"/>
        <v>#DIV/0!</v>
      </c>
      <c r="AK74" s="13">
        <f>'[2]Oct-Dec''25'!AP74+'[2]Apr-Sep''25'!AP74</f>
        <v>76</v>
      </c>
      <c r="AL74" s="13">
        <f>'[2]Oct-Dec''25'!AQ74+'[2]Apr-Sep''25'!AQ74</f>
        <v>81</v>
      </c>
      <c r="AM74" s="8">
        <f t="shared" si="123"/>
        <v>1.0657894736842106</v>
      </c>
      <c r="AN74" s="13">
        <f>'[2]Oct-Dec''25'!AS74+'[2]Apr-Sep''25'!AS74</f>
        <v>78</v>
      </c>
      <c r="AO74" s="13">
        <f>'[2]Oct-Dec''25'!AT74+'[2]Apr-Sep''25'!AT74</f>
        <v>39</v>
      </c>
      <c r="AP74" s="8">
        <f t="shared" si="124"/>
        <v>0.5</v>
      </c>
      <c r="AQ74" s="13">
        <f>'[2]Oct-Dec''25'!AV74+'[2]Apr-Sep''25'!AV74</f>
        <v>0</v>
      </c>
      <c r="AR74" s="13">
        <f>'[2]Oct-Dec''25'!AW74+'[2]Apr-Sep''25'!AW74</f>
        <v>0</v>
      </c>
      <c r="AS74" s="8" t="e">
        <f t="shared" si="125"/>
        <v>#DIV/0!</v>
      </c>
      <c r="AT74" s="13">
        <f>'[2]Oct-Dec''25'!AY74+'[2]Apr-Sep''25'!AY74</f>
        <v>92</v>
      </c>
      <c r="AU74" s="13">
        <f>'[2]Oct-Dec''25'!AZ74+'[2]Apr-Sep''25'!AZ74</f>
        <v>38</v>
      </c>
      <c r="AV74" s="8">
        <f t="shared" si="126"/>
        <v>0.41304347826086957</v>
      </c>
      <c r="AW74" s="9">
        <f t="shared" si="127"/>
        <v>170</v>
      </c>
      <c r="AX74" s="9">
        <f t="shared" si="128"/>
        <v>77</v>
      </c>
      <c r="AY74" s="8">
        <f t="shared" si="129"/>
        <v>0.45294117647058824</v>
      </c>
      <c r="AZ74" s="13">
        <f>'[2]Oct-Dec''25'!BB74+'[2]Apr-Sep''25'!BB74</f>
        <v>84</v>
      </c>
      <c r="BA74" s="13">
        <f>'[2]Oct-Dec''25'!BC74+'[2]Apr-Sep''25'!BC74</f>
        <v>619</v>
      </c>
      <c r="BB74" s="14">
        <f t="shared" si="130"/>
        <v>7.3690476190476186</v>
      </c>
      <c r="BC74" s="13">
        <f>'[2]Oct-Dec''25'!BE74+'[2]Apr-Sep''25'!BE74</f>
        <v>34</v>
      </c>
      <c r="BD74" s="13">
        <f>'[2]Oct-Dec''25'!BF74+'[2]Apr-Sep''25'!BF74</f>
        <v>34</v>
      </c>
      <c r="BE74" s="14">
        <f t="shared" si="131"/>
        <v>1</v>
      </c>
      <c r="BF74" s="13">
        <f>'[2]Oct-Dec''25'!BH74+'[2]Apr-Sep''25'!BH74</f>
        <v>67</v>
      </c>
      <c r="BG74" s="13">
        <f>'[2]Oct-Dec''25'!BI74+'[2]Apr-Sep''25'!BI74</f>
        <v>66</v>
      </c>
      <c r="BH74" s="14">
        <f t="shared" si="132"/>
        <v>0.9850746268656716</v>
      </c>
      <c r="BI74" s="13">
        <f>'[2]Oct-Dec''25'!BK74+'[2]Apr-Sep''25'!BK74</f>
        <v>36</v>
      </c>
      <c r="BJ74" s="13">
        <f>'[2]Oct-Dec''25'!BL74+'[2]Apr-Sep''25'!BL74</f>
        <v>35</v>
      </c>
      <c r="BK74" s="15">
        <f t="shared" si="133"/>
        <v>0.97222222222222221</v>
      </c>
      <c r="BL74" s="13">
        <f>'[2]Oct-Dec''25'!BN74+'[2]Apr-Sep''25'!BN74</f>
        <v>42</v>
      </c>
      <c r="BM74" s="13">
        <f>'[2]Oct-Dec''25'!BO74+'[2]Apr-Sep''25'!BO74</f>
        <v>41</v>
      </c>
      <c r="BN74" s="15">
        <f t="shared" si="134"/>
        <v>0.97619047619047616</v>
      </c>
      <c r="BO74" s="13">
        <f>'[2]Oct-Dec''25'!BQ74+'[2]Apr-Sep''25'!BQ74</f>
        <v>36</v>
      </c>
      <c r="BP74" s="13">
        <f>'[2]Oct-Dec''25'!BR74+'[2]Apr-Sep''25'!BR74</f>
        <v>29</v>
      </c>
      <c r="BQ74" s="15">
        <f t="shared" si="135"/>
        <v>0.80555555555555558</v>
      </c>
      <c r="BR74" s="13">
        <f>'[2]Oct-Dec''25'!BT74+'[2]Apr-Sep''25'!BT74</f>
        <v>27</v>
      </c>
      <c r="BS74" s="13">
        <f>'[2]Oct-Dec''25'!BU74+'[2]Apr-Sep''25'!BU74</f>
        <v>16</v>
      </c>
      <c r="BT74" s="14">
        <f t="shared" si="136"/>
        <v>0.59259259259259256</v>
      </c>
      <c r="BU74" s="13">
        <f>'[2]Oct-Dec''25'!BW74+'[2]Apr-Sep''25'!BW74</f>
        <v>0</v>
      </c>
      <c r="BV74" s="13">
        <f>'[2]Oct-Dec''25'!BX74+'[2]Apr-Sep''25'!BX74</f>
        <v>0</v>
      </c>
      <c r="BW74" s="14">
        <f t="shared" si="137"/>
        <v>0</v>
      </c>
      <c r="BX74" s="13">
        <f>'[2]Oct-Dec''25'!BZ74+'[2]Apr-Sep''25'!BZ74</f>
        <v>314</v>
      </c>
      <c r="BY74" s="13">
        <f>'[2]Oct-Dec''25'!CA74+'[2]Apr-Sep''25'!CA74</f>
        <v>314</v>
      </c>
      <c r="BZ74" s="14">
        <f t="shared" si="138"/>
        <v>1</v>
      </c>
      <c r="CA74" s="13">
        <f>'[2]Oct-Dec''25'!CC74+'[2]Apr-Sep''25'!CC74</f>
        <v>328</v>
      </c>
      <c r="CB74" s="13">
        <f>'[2]Oct-Dec''25'!CD74+'[2]Apr-Sep''25'!CD74</f>
        <v>347</v>
      </c>
      <c r="CC74" s="14">
        <f t="shared" si="139"/>
        <v>1.0579268292682926</v>
      </c>
      <c r="CD74" s="13">
        <f>'[2]Oct-Dec''25'!CF74+'[2]Apr-Sep''25'!CF74</f>
        <v>20</v>
      </c>
      <c r="CE74" s="13">
        <f>'[2]Oct-Dec''25'!CG74+'[2]Apr-Sep''25'!CG74</f>
        <v>20</v>
      </c>
      <c r="CF74" s="14">
        <f t="shared" si="140"/>
        <v>1</v>
      </c>
    </row>
    <row r="75" spans="1:84" ht="24" x14ac:dyDescent="0.25">
      <c r="A75" s="12">
        <f>'[2]Oct-Dec''25'!A75</f>
        <v>69</v>
      </c>
      <c r="B75" s="12" t="str">
        <f>'[2]Oct-Dec''25'!B75</f>
        <v>UPNP+</v>
      </c>
      <c r="C75" s="1" t="str">
        <f>'[2]Oct-Dec''25'!C75</f>
        <v>Uttar Pradesh</v>
      </c>
      <c r="D75" s="3" t="str">
        <f>'[2]Oct-Dec''25'!D75</f>
        <v>POSITIVE WOMEN NETWORK SOCIETY</v>
      </c>
      <c r="E75" s="1" t="str">
        <f>'[2]Oct-Dec''25'!E75</f>
        <v>RAE BARIELLY</v>
      </c>
      <c r="F75" s="12" t="s">
        <v>85</v>
      </c>
      <c r="G75" s="13">
        <f>'[2]Oct-Dec''25'!H75+'[2]Apr-Sep''25'!H75</f>
        <v>110</v>
      </c>
      <c r="H75" s="13">
        <f>'[2]Oct-Dec''25'!I75+'[2]Apr-Sep''25'!I75</f>
        <v>96</v>
      </c>
      <c r="I75" s="7">
        <f t="shared" si="114"/>
        <v>0.87272727272727268</v>
      </c>
      <c r="J75" s="13">
        <f>'[2]Oct-Dec''25'!K75+'[2]Apr-Sep''25'!K75</f>
        <v>0</v>
      </c>
      <c r="K75" s="13">
        <f>'[2]Oct-Dec''25'!L75+'[2]Apr-Sep''25'!L75</f>
        <v>0</v>
      </c>
      <c r="L75" s="7"/>
      <c r="M75" s="13">
        <f>'[2]Oct-Dec''25'!N75+'[2]Apr-Sep''25'!N75</f>
        <v>87</v>
      </c>
      <c r="N75" s="13">
        <f>'[2]Oct-Dec''25'!O75+'[2]Apr-Sep''25'!O75</f>
        <v>87</v>
      </c>
      <c r="O75" s="8">
        <f t="shared" si="115"/>
        <v>1</v>
      </c>
      <c r="P75" s="13">
        <f>'[2]Oct-Dec''25'!Q75+'[2]Apr-Sep''25'!Q75</f>
        <v>86</v>
      </c>
      <c r="Q75" s="13">
        <f>'[2]Oct-Dec''25'!R75+'[2]Apr-Sep''25'!R75</f>
        <v>69</v>
      </c>
      <c r="R75" s="8">
        <f t="shared" si="116"/>
        <v>0.80232558139534882</v>
      </c>
      <c r="S75" s="13">
        <f>'[2]Oct-Dec''25'!T75+'[2]Apr-Sep''25'!T75</f>
        <v>551</v>
      </c>
      <c r="T75" s="13">
        <f>'[2]Oct-Dec''25'!U75+'[2]Apr-Sep''25'!U75</f>
        <v>457</v>
      </c>
      <c r="U75" s="8">
        <f t="shared" si="117"/>
        <v>0.8294010889292196</v>
      </c>
      <c r="V75" s="13">
        <f>'[2]Oct-Dec''25'!W75+'[2]Apr-Sep''25'!W75</f>
        <v>111</v>
      </c>
      <c r="W75" s="13">
        <f>'[2]Oct-Dec''25'!Y75+'[2]Apr-Sep''25'!Y75</f>
        <v>82</v>
      </c>
      <c r="X75" s="8">
        <f t="shared" si="118"/>
        <v>0.73873873873873874</v>
      </c>
      <c r="Y75" s="13">
        <f>'[2]Oct-Dec''25'!AA75+'[2]Apr-Sep''25'!AA75</f>
        <v>94</v>
      </c>
      <c r="Z75" s="13">
        <f>'[2]Oct-Dec''25'!AB75+'[2]Apr-Sep''25'!AB75</f>
        <v>94</v>
      </c>
      <c r="AA75" s="8">
        <f t="shared" si="119"/>
        <v>1</v>
      </c>
      <c r="AB75" s="13">
        <f>'[2]Oct-Dec''25'!AD75+'[2]Apr-Sep''25'!AD75</f>
        <v>91</v>
      </c>
      <c r="AC75" s="13">
        <f>'[2]Oct-Dec''25'!AE75+'[2]Apr-Sep''25'!AE75</f>
        <v>60</v>
      </c>
      <c r="AD75" s="8">
        <f t="shared" si="120"/>
        <v>0.65934065934065933</v>
      </c>
      <c r="AE75" s="13">
        <f>'[2]Oct-Dec''25'!AJ75+'[2]Apr-Sep''25'!AJ75</f>
        <v>378</v>
      </c>
      <c r="AF75" s="13">
        <f>'[2]Oct-Dec''25'!AK75+'[2]Apr-Sep''25'!AK75</f>
        <v>369</v>
      </c>
      <c r="AG75" s="8">
        <f t="shared" si="121"/>
        <v>0.97619047619047616</v>
      </c>
      <c r="AH75" s="13">
        <f>'[2]Oct-Dec''25'!AM75+'[2]Apr-Sep''25'!AM75</f>
        <v>0</v>
      </c>
      <c r="AI75" s="13">
        <f>'[2]Oct-Dec''25'!AN75+'[2]Apr-Sep''25'!AN75</f>
        <v>0</v>
      </c>
      <c r="AJ75" s="8" t="e">
        <f t="shared" si="122"/>
        <v>#DIV/0!</v>
      </c>
      <c r="AK75" s="13">
        <f>'[2]Oct-Dec''25'!AP75+'[2]Apr-Sep''25'!AP75</f>
        <v>12</v>
      </c>
      <c r="AL75" s="13">
        <f>'[2]Oct-Dec''25'!AQ75+'[2]Apr-Sep''25'!AQ75</f>
        <v>11</v>
      </c>
      <c r="AM75" s="8">
        <f t="shared" si="123"/>
        <v>0.91666666666666663</v>
      </c>
      <c r="AN75" s="13">
        <f>'[2]Oct-Dec''25'!AS75+'[2]Apr-Sep''25'!AS75</f>
        <v>6</v>
      </c>
      <c r="AO75" s="13">
        <f>'[2]Oct-Dec''25'!AT75+'[2]Apr-Sep''25'!AT75</f>
        <v>6</v>
      </c>
      <c r="AP75" s="8">
        <f t="shared" si="124"/>
        <v>1</v>
      </c>
      <c r="AQ75" s="13">
        <f>'[2]Oct-Dec''25'!AV75+'[2]Apr-Sep''25'!AV75</f>
        <v>0</v>
      </c>
      <c r="AR75" s="13">
        <f>'[2]Oct-Dec''25'!AW75+'[2]Apr-Sep''25'!AW75</f>
        <v>0</v>
      </c>
      <c r="AS75" s="8" t="e">
        <f t="shared" si="125"/>
        <v>#DIV/0!</v>
      </c>
      <c r="AT75" s="13">
        <f>'[2]Oct-Dec''25'!AY75+'[2]Apr-Sep''25'!AY75</f>
        <v>5</v>
      </c>
      <c r="AU75" s="13">
        <f>'[2]Oct-Dec''25'!AZ75+'[2]Apr-Sep''25'!AZ75</f>
        <v>5</v>
      </c>
      <c r="AV75" s="8">
        <f t="shared" si="126"/>
        <v>1</v>
      </c>
      <c r="AW75" s="9">
        <f t="shared" si="127"/>
        <v>11</v>
      </c>
      <c r="AX75" s="9">
        <f t="shared" si="128"/>
        <v>11</v>
      </c>
      <c r="AY75" s="8">
        <f t="shared" si="129"/>
        <v>1</v>
      </c>
      <c r="AZ75" s="13">
        <f>'[2]Oct-Dec''25'!BB75+'[2]Apr-Sep''25'!BB75</f>
        <v>95</v>
      </c>
      <c r="BA75" s="13">
        <f>'[2]Oct-Dec''25'!BC75+'[2]Apr-Sep''25'!BC75</f>
        <v>82</v>
      </c>
      <c r="BB75" s="14">
        <f t="shared" si="130"/>
        <v>0.86315789473684212</v>
      </c>
      <c r="BC75" s="13">
        <f>'[2]Oct-Dec''25'!BE75+'[2]Apr-Sep''25'!BE75</f>
        <v>6</v>
      </c>
      <c r="BD75" s="13">
        <f>'[2]Oct-Dec''25'!BF75+'[2]Apr-Sep''25'!BF75</f>
        <v>6</v>
      </c>
      <c r="BE75" s="14">
        <f t="shared" si="131"/>
        <v>1</v>
      </c>
      <c r="BF75" s="13">
        <f>'[2]Oct-Dec''25'!BH75+'[2]Apr-Sep''25'!BH75</f>
        <v>5</v>
      </c>
      <c r="BG75" s="13">
        <f>'[2]Oct-Dec''25'!BI75+'[2]Apr-Sep''25'!BI75</f>
        <v>5</v>
      </c>
      <c r="BH75" s="14">
        <f t="shared" si="132"/>
        <v>1</v>
      </c>
      <c r="BI75" s="13">
        <f>'[2]Oct-Dec''25'!BK75+'[2]Apr-Sep''25'!BK75</f>
        <v>5</v>
      </c>
      <c r="BJ75" s="13">
        <f>'[2]Oct-Dec''25'!BL75+'[2]Apr-Sep''25'!BL75</f>
        <v>5</v>
      </c>
      <c r="BK75" s="15">
        <f t="shared" si="133"/>
        <v>1</v>
      </c>
      <c r="BL75" s="13">
        <f>'[2]Oct-Dec''25'!BN75+'[2]Apr-Sep''25'!BN75</f>
        <v>5</v>
      </c>
      <c r="BM75" s="13">
        <f>'[2]Oct-Dec''25'!BO75+'[2]Apr-Sep''25'!BO75</f>
        <v>5</v>
      </c>
      <c r="BN75" s="15">
        <f t="shared" si="134"/>
        <v>1</v>
      </c>
      <c r="BO75" s="13">
        <f>'[2]Oct-Dec''25'!BQ75+'[2]Apr-Sep''25'!BQ75</f>
        <v>6</v>
      </c>
      <c r="BP75" s="13">
        <f>'[2]Oct-Dec''25'!BR75+'[2]Apr-Sep''25'!BR75</f>
        <v>4</v>
      </c>
      <c r="BQ75" s="15">
        <f t="shared" si="135"/>
        <v>0.66666666666666663</v>
      </c>
      <c r="BR75" s="13">
        <f>'[2]Oct-Dec''25'!BT75+'[2]Apr-Sep''25'!BT75</f>
        <v>5</v>
      </c>
      <c r="BS75" s="13">
        <f>'[2]Oct-Dec''25'!BU75+'[2]Apr-Sep''25'!BU75</f>
        <v>6</v>
      </c>
      <c r="BT75" s="14">
        <f t="shared" si="136"/>
        <v>1.2</v>
      </c>
      <c r="BU75" s="13">
        <f>'[2]Oct-Dec''25'!BW75+'[2]Apr-Sep''25'!BW75</f>
        <v>0</v>
      </c>
      <c r="BV75" s="13">
        <f>'[2]Oct-Dec''25'!BX75+'[2]Apr-Sep''25'!BX75</f>
        <v>0</v>
      </c>
      <c r="BW75" s="14">
        <f t="shared" si="137"/>
        <v>0</v>
      </c>
      <c r="BX75" s="13">
        <f>'[2]Oct-Dec''25'!BZ75+'[2]Apr-Sep''25'!BZ75</f>
        <v>96</v>
      </c>
      <c r="BY75" s="13">
        <f>'[2]Oct-Dec''25'!CA75+'[2]Apr-Sep''25'!CA75</f>
        <v>96</v>
      </c>
      <c r="BZ75" s="14">
        <f t="shared" si="138"/>
        <v>1</v>
      </c>
      <c r="CA75" s="13">
        <f>'[2]Oct-Dec''25'!CC75+'[2]Apr-Sep''25'!CC75</f>
        <v>96</v>
      </c>
      <c r="CB75" s="13">
        <f>'[2]Oct-Dec''25'!CD75+'[2]Apr-Sep''25'!CD75</f>
        <v>104</v>
      </c>
      <c r="CC75" s="14">
        <f t="shared" si="139"/>
        <v>1.0833333333333333</v>
      </c>
      <c r="CD75" s="13">
        <f>'[2]Oct-Dec''25'!CF75+'[2]Apr-Sep''25'!CF75</f>
        <v>4</v>
      </c>
      <c r="CE75" s="13">
        <f>'[2]Oct-Dec''25'!CG75+'[2]Apr-Sep''25'!CG75</f>
        <v>3</v>
      </c>
      <c r="CF75" s="14">
        <f t="shared" si="140"/>
        <v>0.75</v>
      </c>
    </row>
    <row r="76" spans="1:84" ht="48" x14ac:dyDescent="0.25">
      <c r="A76" s="12">
        <f>'[2]Oct-Dec''25'!A76</f>
        <v>70</v>
      </c>
      <c r="B76" s="12" t="str">
        <f>'[2]Oct-Dec''25'!B76</f>
        <v>UPNP+</v>
      </c>
      <c r="C76" s="1" t="str">
        <f>'[2]Oct-Dec''25'!C76</f>
        <v>Uttar Pradesh</v>
      </c>
      <c r="D76" s="3" t="str">
        <f>'[2]Oct-Dec''25'!D76</f>
        <v>CHANDAULI NETWORK FOR POSITIVE PEOPLE LIVING WITH HIV/AIDS SOCIETY</v>
      </c>
      <c r="E76" s="1" t="str">
        <f>'[2]Oct-Dec''25'!E76</f>
        <v>BALLIA</v>
      </c>
      <c r="F76" s="12" t="s">
        <v>85</v>
      </c>
      <c r="G76" s="13">
        <f>'[2]Oct-Dec''25'!H76+'[2]Apr-Sep''25'!H76</f>
        <v>222</v>
      </c>
      <c r="H76" s="13">
        <f>'[2]Oct-Dec''25'!I76+'[2]Apr-Sep''25'!I76</f>
        <v>194</v>
      </c>
      <c r="I76" s="7">
        <f t="shared" si="114"/>
        <v>0.87387387387387383</v>
      </c>
      <c r="J76" s="13">
        <f>'[2]Oct-Dec''25'!K76+'[2]Apr-Sep''25'!K76</f>
        <v>0</v>
      </c>
      <c r="K76" s="13">
        <f>'[2]Oct-Dec''25'!L76+'[2]Apr-Sep''25'!L76</f>
        <v>0</v>
      </c>
      <c r="L76" s="7"/>
      <c r="M76" s="13">
        <f>'[2]Oct-Dec''25'!N76+'[2]Apr-Sep''25'!N76</f>
        <v>187</v>
      </c>
      <c r="N76" s="13">
        <f>'[2]Oct-Dec''25'!O76+'[2]Apr-Sep''25'!O76</f>
        <v>187</v>
      </c>
      <c r="O76" s="8">
        <f t="shared" si="115"/>
        <v>1</v>
      </c>
      <c r="P76" s="13">
        <f>'[2]Oct-Dec''25'!Q76+'[2]Apr-Sep''25'!Q76</f>
        <v>171</v>
      </c>
      <c r="Q76" s="13">
        <f>'[2]Oct-Dec''25'!R76+'[2]Apr-Sep''25'!R76</f>
        <v>156</v>
      </c>
      <c r="R76" s="8">
        <f t="shared" si="116"/>
        <v>0.91228070175438591</v>
      </c>
      <c r="S76" s="13">
        <f>'[2]Oct-Dec''25'!T76+'[2]Apr-Sep''25'!T76</f>
        <v>1356</v>
      </c>
      <c r="T76" s="13">
        <f>'[2]Oct-Dec''25'!U76+'[2]Apr-Sep''25'!U76</f>
        <v>1064</v>
      </c>
      <c r="U76" s="8">
        <f t="shared" si="117"/>
        <v>0.78466076696165188</v>
      </c>
      <c r="V76" s="13">
        <f>'[2]Oct-Dec''25'!W76+'[2]Apr-Sep''25'!W76</f>
        <v>364</v>
      </c>
      <c r="W76" s="13">
        <f>'[2]Oct-Dec''25'!Y76+'[2]Apr-Sep''25'!Y76</f>
        <v>315</v>
      </c>
      <c r="X76" s="8">
        <f t="shared" si="118"/>
        <v>0.86538461538461542</v>
      </c>
      <c r="Y76" s="13">
        <f>'[2]Oct-Dec''25'!AA76+'[2]Apr-Sep''25'!AA76</f>
        <v>40</v>
      </c>
      <c r="Z76" s="13">
        <f>'[2]Oct-Dec''25'!AB76+'[2]Apr-Sep''25'!AB76</f>
        <v>40</v>
      </c>
      <c r="AA76" s="8">
        <f t="shared" si="119"/>
        <v>1</v>
      </c>
      <c r="AB76" s="13">
        <f>'[2]Oct-Dec''25'!AD76+'[2]Apr-Sep''25'!AD76</f>
        <v>53</v>
      </c>
      <c r="AC76" s="13">
        <f>'[2]Oct-Dec''25'!AE76+'[2]Apr-Sep''25'!AE76</f>
        <v>30</v>
      </c>
      <c r="AD76" s="8">
        <f t="shared" si="120"/>
        <v>0.56603773584905659</v>
      </c>
      <c r="AE76" s="13">
        <f>'[2]Oct-Dec''25'!AJ76+'[2]Apr-Sep''25'!AJ76</f>
        <v>878</v>
      </c>
      <c r="AF76" s="13">
        <f>'[2]Oct-Dec''25'!AK76+'[2]Apr-Sep''25'!AK76</f>
        <v>761</v>
      </c>
      <c r="AG76" s="8">
        <f t="shared" si="121"/>
        <v>0.86674259681093391</v>
      </c>
      <c r="AH76" s="13">
        <f>'[2]Oct-Dec''25'!AM76+'[2]Apr-Sep''25'!AM76</f>
        <v>0</v>
      </c>
      <c r="AI76" s="13">
        <f>'[2]Oct-Dec''25'!AN76+'[2]Apr-Sep''25'!AN76</f>
        <v>0</v>
      </c>
      <c r="AJ76" s="8" t="e">
        <f t="shared" si="122"/>
        <v>#DIV/0!</v>
      </c>
      <c r="AK76" s="13">
        <f>'[2]Oct-Dec''25'!AP76+'[2]Apr-Sep''25'!AP76</f>
        <v>35</v>
      </c>
      <c r="AL76" s="13">
        <f>'[2]Oct-Dec''25'!AQ76+'[2]Apr-Sep''25'!AQ76</f>
        <v>36</v>
      </c>
      <c r="AM76" s="8">
        <f t="shared" si="123"/>
        <v>1.0285714285714285</v>
      </c>
      <c r="AN76" s="13">
        <f>'[2]Oct-Dec''25'!AS76+'[2]Apr-Sep''25'!AS76</f>
        <v>61</v>
      </c>
      <c r="AO76" s="13">
        <f>'[2]Oct-Dec''25'!AT76+'[2]Apr-Sep''25'!AT76</f>
        <v>64</v>
      </c>
      <c r="AP76" s="8">
        <f t="shared" si="124"/>
        <v>1.0491803278688525</v>
      </c>
      <c r="AQ76" s="13">
        <f>'[2]Oct-Dec''25'!AV76+'[2]Apr-Sep''25'!AV76</f>
        <v>0</v>
      </c>
      <c r="AR76" s="13">
        <f>'[2]Oct-Dec''25'!AW76+'[2]Apr-Sep''25'!AW76</f>
        <v>0</v>
      </c>
      <c r="AS76" s="8" t="e">
        <f t="shared" si="125"/>
        <v>#DIV/0!</v>
      </c>
      <c r="AT76" s="13">
        <f>'[2]Oct-Dec''25'!AY76+'[2]Apr-Sep''25'!AY76</f>
        <v>60</v>
      </c>
      <c r="AU76" s="13">
        <f>'[2]Oct-Dec''25'!AZ76+'[2]Apr-Sep''25'!AZ76</f>
        <v>60</v>
      </c>
      <c r="AV76" s="8">
        <f t="shared" si="126"/>
        <v>1</v>
      </c>
      <c r="AW76" s="9">
        <f t="shared" si="127"/>
        <v>121</v>
      </c>
      <c r="AX76" s="9">
        <f t="shared" si="128"/>
        <v>124</v>
      </c>
      <c r="AY76" s="8">
        <f t="shared" si="129"/>
        <v>1.024793388429752</v>
      </c>
      <c r="AZ76" s="13">
        <f>'[2]Oct-Dec''25'!BB76+'[2]Apr-Sep''25'!BB76</f>
        <v>61</v>
      </c>
      <c r="BA76" s="13">
        <f>'[2]Oct-Dec''25'!BC76+'[2]Apr-Sep''25'!BC76</f>
        <v>211</v>
      </c>
      <c r="BB76" s="14">
        <f t="shared" si="130"/>
        <v>3.459016393442623</v>
      </c>
      <c r="BC76" s="13">
        <f>'[2]Oct-Dec''25'!BE76+'[2]Apr-Sep''25'!BE76</f>
        <v>10</v>
      </c>
      <c r="BD76" s="13">
        <f>'[2]Oct-Dec''25'!BF76+'[2]Apr-Sep''25'!BF76</f>
        <v>10</v>
      </c>
      <c r="BE76" s="14">
        <f t="shared" si="131"/>
        <v>1</v>
      </c>
      <c r="BF76" s="13">
        <f>'[2]Oct-Dec''25'!BH76+'[2]Apr-Sep''25'!BH76</f>
        <v>17</v>
      </c>
      <c r="BG76" s="13">
        <f>'[2]Oct-Dec''25'!BI76+'[2]Apr-Sep''25'!BI76</f>
        <v>17</v>
      </c>
      <c r="BH76" s="14">
        <f t="shared" si="132"/>
        <v>1</v>
      </c>
      <c r="BI76" s="13">
        <f>'[2]Oct-Dec''25'!BK76+'[2]Apr-Sep''25'!BK76</f>
        <v>18</v>
      </c>
      <c r="BJ76" s="13">
        <f>'[2]Oct-Dec''25'!BL76+'[2]Apr-Sep''25'!BL76</f>
        <v>17</v>
      </c>
      <c r="BK76" s="15">
        <f t="shared" si="133"/>
        <v>0.94444444444444442</v>
      </c>
      <c r="BL76" s="13">
        <f>'[2]Oct-Dec''25'!BN76+'[2]Apr-Sep''25'!BN76</f>
        <v>10</v>
      </c>
      <c r="BM76" s="13">
        <f>'[2]Oct-Dec''25'!BO76+'[2]Apr-Sep''25'!BO76</f>
        <v>8</v>
      </c>
      <c r="BN76" s="15">
        <f t="shared" si="134"/>
        <v>0.8</v>
      </c>
      <c r="BO76" s="13">
        <f>'[2]Oct-Dec''25'!BQ76+'[2]Apr-Sep''25'!BQ76</f>
        <v>11</v>
      </c>
      <c r="BP76" s="13">
        <f>'[2]Oct-Dec''25'!BR76+'[2]Apr-Sep''25'!BR76</f>
        <v>9</v>
      </c>
      <c r="BQ76" s="15">
        <f t="shared" si="135"/>
        <v>0.81818181818181823</v>
      </c>
      <c r="BR76" s="13">
        <f>'[2]Oct-Dec''25'!BT76+'[2]Apr-Sep''25'!BT76</f>
        <v>12</v>
      </c>
      <c r="BS76" s="13">
        <f>'[2]Oct-Dec''25'!BU76+'[2]Apr-Sep''25'!BU76</f>
        <v>11</v>
      </c>
      <c r="BT76" s="14">
        <f t="shared" si="136"/>
        <v>0.91666666666666663</v>
      </c>
      <c r="BU76" s="13">
        <f>'[2]Oct-Dec''25'!BW76+'[2]Apr-Sep''25'!BW76</f>
        <v>0</v>
      </c>
      <c r="BV76" s="13">
        <f>'[2]Oct-Dec''25'!BX76+'[2]Apr-Sep''25'!BX76</f>
        <v>0</v>
      </c>
      <c r="BW76" s="14">
        <f t="shared" si="137"/>
        <v>0</v>
      </c>
      <c r="BX76" s="13">
        <f>'[2]Oct-Dec''25'!BZ76+'[2]Apr-Sep''25'!BZ76</f>
        <v>194</v>
      </c>
      <c r="BY76" s="13">
        <f>'[2]Oct-Dec''25'!CA76+'[2]Apr-Sep''25'!CA76</f>
        <v>175</v>
      </c>
      <c r="BZ76" s="14">
        <f t="shared" si="138"/>
        <v>0.90206185567010311</v>
      </c>
      <c r="CA76" s="13">
        <f>'[2]Oct-Dec''25'!CC76+'[2]Apr-Sep''25'!CC76</f>
        <v>238</v>
      </c>
      <c r="CB76" s="13">
        <f>'[2]Oct-Dec''25'!CD76+'[2]Apr-Sep''25'!CD76</f>
        <v>225</v>
      </c>
      <c r="CC76" s="14">
        <f t="shared" si="139"/>
        <v>0.94537815126050417</v>
      </c>
      <c r="CD76" s="13">
        <f>'[2]Oct-Dec''25'!CF76+'[2]Apr-Sep''25'!CF76</f>
        <v>0</v>
      </c>
      <c r="CE76" s="13">
        <f>'[2]Oct-Dec''25'!CG76+'[2]Apr-Sep''25'!CG76</f>
        <v>0</v>
      </c>
      <c r="CF76" s="14">
        <f t="shared" si="140"/>
        <v>0</v>
      </c>
    </row>
    <row r="77" spans="1:84" ht="24" x14ac:dyDescent="0.25">
      <c r="A77" s="12">
        <f>'[2]Oct-Dec''25'!A77</f>
        <v>71</v>
      </c>
      <c r="B77" s="12" t="str">
        <f>'[2]Oct-Dec''25'!B77</f>
        <v>UPNP+</v>
      </c>
      <c r="C77" s="1" t="str">
        <f>'[2]Oct-Dec''25'!C77</f>
        <v>Uttar Pradesh</v>
      </c>
      <c r="D77" s="3" t="str">
        <f>'[2]Oct-Dec''25'!D77</f>
        <v>THARU JANJATI MAHILA VIKAS SAMITI</v>
      </c>
      <c r="E77" s="1" t="str">
        <f>'[2]Oct-Dec''25'!E77</f>
        <v>GONDA</v>
      </c>
      <c r="F77" s="12" t="s">
        <v>85</v>
      </c>
      <c r="G77" s="13">
        <f>'[2]Oct-Dec''25'!H77+'[2]Apr-Sep''25'!H77</f>
        <v>132</v>
      </c>
      <c r="H77" s="13">
        <f>'[2]Oct-Dec''25'!I77+'[2]Apr-Sep''25'!I77</f>
        <v>148</v>
      </c>
      <c r="I77" s="7">
        <f t="shared" si="114"/>
        <v>1.1212121212121211</v>
      </c>
      <c r="J77" s="13">
        <f>'[2]Oct-Dec''25'!K77+'[2]Apr-Sep''25'!K77</f>
        <v>0</v>
      </c>
      <c r="K77" s="13">
        <f>'[2]Oct-Dec''25'!L77+'[2]Apr-Sep''25'!L77</f>
        <v>0</v>
      </c>
      <c r="L77" s="7"/>
      <c r="M77" s="13">
        <f>'[2]Oct-Dec''25'!N77+'[2]Apr-Sep''25'!N77</f>
        <v>114</v>
      </c>
      <c r="N77" s="13">
        <f>'[2]Oct-Dec''25'!O77+'[2]Apr-Sep''25'!O77</f>
        <v>114</v>
      </c>
      <c r="O77" s="8">
        <f t="shared" si="115"/>
        <v>1</v>
      </c>
      <c r="P77" s="13">
        <f>'[2]Oct-Dec''25'!Q77+'[2]Apr-Sep''25'!Q77</f>
        <v>133</v>
      </c>
      <c r="Q77" s="13">
        <f>'[2]Oct-Dec''25'!R77+'[2]Apr-Sep''25'!R77</f>
        <v>121</v>
      </c>
      <c r="R77" s="8">
        <f t="shared" si="116"/>
        <v>0.90977443609022557</v>
      </c>
      <c r="S77" s="13">
        <f>'[2]Oct-Dec''25'!T77+'[2]Apr-Sep''25'!T77</f>
        <v>1129</v>
      </c>
      <c r="T77" s="13">
        <f>'[2]Oct-Dec''25'!U77+'[2]Apr-Sep''25'!U77</f>
        <v>957</v>
      </c>
      <c r="U77" s="8">
        <f t="shared" si="117"/>
        <v>0.84765279007971661</v>
      </c>
      <c r="V77" s="13">
        <f>'[2]Oct-Dec''25'!W77+'[2]Apr-Sep''25'!W77</f>
        <v>180</v>
      </c>
      <c r="W77" s="13">
        <f>'[2]Oct-Dec''25'!Y77+'[2]Apr-Sep''25'!Y77</f>
        <v>165</v>
      </c>
      <c r="X77" s="8">
        <f t="shared" si="118"/>
        <v>0.91666666666666663</v>
      </c>
      <c r="Y77" s="13">
        <f>'[2]Oct-Dec''25'!AA77+'[2]Apr-Sep''25'!AA77</f>
        <v>60</v>
      </c>
      <c r="Z77" s="13">
        <f>'[2]Oct-Dec''25'!AB77+'[2]Apr-Sep''25'!AB77</f>
        <v>60</v>
      </c>
      <c r="AA77" s="8">
        <f t="shared" si="119"/>
        <v>1</v>
      </c>
      <c r="AB77" s="13">
        <f>'[2]Oct-Dec''25'!AD77+'[2]Apr-Sep''25'!AD77</f>
        <v>90</v>
      </c>
      <c r="AC77" s="13">
        <f>'[2]Oct-Dec''25'!AE77+'[2]Apr-Sep''25'!AE77</f>
        <v>69</v>
      </c>
      <c r="AD77" s="8">
        <f t="shared" si="120"/>
        <v>0.76666666666666672</v>
      </c>
      <c r="AE77" s="13">
        <f>'[2]Oct-Dec''25'!AJ77+'[2]Apr-Sep''25'!AJ77</f>
        <v>310</v>
      </c>
      <c r="AF77" s="13">
        <f>'[2]Oct-Dec''25'!AK77+'[2]Apr-Sep''25'!AK77</f>
        <v>205</v>
      </c>
      <c r="AG77" s="8">
        <f t="shared" si="121"/>
        <v>0.66129032258064513</v>
      </c>
      <c r="AH77" s="13">
        <f>'[2]Oct-Dec''25'!AM77+'[2]Apr-Sep''25'!AM77</f>
        <v>0</v>
      </c>
      <c r="AI77" s="13">
        <f>'[2]Oct-Dec''25'!AN77+'[2]Apr-Sep''25'!AN77</f>
        <v>0</v>
      </c>
      <c r="AJ77" s="8" t="e">
        <f t="shared" si="122"/>
        <v>#DIV/0!</v>
      </c>
      <c r="AK77" s="13">
        <f>'[2]Oct-Dec''25'!AP77+'[2]Apr-Sep''25'!AP77</f>
        <v>21</v>
      </c>
      <c r="AL77" s="13">
        <f>'[2]Oct-Dec''25'!AQ77+'[2]Apr-Sep''25'!AQ77</f>
        <v>13</v>
      </c>
      <c r="AM77" s="8">
        <f t="shared" si="123"/>
        <v>0.61904761904761907</v>
      </c>
      <c r="AN77" s="13">
        <f>'[2]Oct-Dec''25'!AS77+'[2]Apr-Sep''25'!AS77</f>
        <v>69</v>
      </c>
      <c r="AO77" s="13">
        <f>'[2]Oct-Dec''25'!AT77+'[2]Apr-Sep''25'!AT77</f>
        <v>69</v>
      </c>
      <c r="AP77" s="8">
        <f t="shared" si="124"/>
        <v>1</v>
      </c>
      <c r="AQ77" s="13">
        <f>'[2]Oct-Dec''25'!AV77+'[2]Apr-Sep''25'!AV77</f>
        <v>0</v>
      </c>
      <c r="AR77" s="13">
        <f>'[2]Oct-Dec''25'!AW77+'[2]Apr-Sep''25'!AW77</f>
        <v>0</v>
      </c>
      <c r="AS77" s="8" t="e">
        <f t="shared" si="125"/>
        <v>#DIV/0!</v>
      </c>
      <c r="AT77" s="13">
        <f>'[2]Oct-Dec''25'!AY77+'[2]Apr-Sep''25'!AY77</f>
        <v>51</v>
      </c>
      <c r="AU77" s="13">
        <f>'[2]Oct-Dec''25'!AZ77+'[2]Apr-Sep''25'!AZ77</f>
        <v>51</v>
      </c>
      <c r="AV77" s="8">
        <f t="shared" si="126"/>
        <v>1</v>
      </c>
      <c r="AW77" s="9">
        <f t="shared" si="127"/>
        <v>120</v>
      </c>
      <c r="AX77" s="9">
        <f t="shared" si="128"/>
        <v>120</v>
      </c>
      <c r="AY77" s="8">
        <f t="shared" si="129"/>
        <v>1</v>
      </c>
      <c r="AZ77" s="13">
        <f>'[2]Oct-Dec''25'!BB77+'[2]Apr-Sep''25'!BB77</f>
        <v>5</v>
      </c>
      <c r="BA77" s="13">
        <f>'[2]Oct-Dec''25'!BC77+'[2]Apr-Sep''25'!BC77</f>
        <v>85</v>
      </c>
      <c r="BB77" s="14">
        <f t="shared" si="130"/>
        <v>17</v>
      </c>
      <c r="BC77" s="13">
        <f>'[2]Oct-Dec''25'!BE77+'[2]Apr-Sep''25'!BE77</f>
        <v>5</v>
      </c>
      <c r="BD77" s="13">
        <f>'[2]Oct-Dec''25'!BF77+'[2]Apr-Sep''25'!BF77</f>
        <v>5</v>
      </c>
      <c r="BE77" s="14">
        <f t="shared" si="131"/>
        <v>1</v>
      </c>
      <c r="BF77" s="13">
        <f>'[2]Oct-Dec''25'!BH77+'[2]Apr-Sep''25'!BH77</f>
        <v>12</v>
      </c>
      <c r="BG77" s="13">
        <f>'[2]Oct-Dec''25'!BI77+'[2]Apr-Sep''25'!BI77</f>
        <v>12</v>
      </c>
      <c r="BH77" s="14">
        <f t="shared" si="132"/>
        <v>1</v>
      </c>
      <c r="BI77" s="13">
        <f>'[2]Oct-Dec''25'!BK77+'[2]Apr-Sep''25'!BK77</f>
        <v>9</v>
      </c>
      <c r="BJ77" s="13">
        <f>'[2]Oct-Dec''25'!BL77+'[2]Apr-Sep''25'!BL77</f>
        <v>9</v>
      </c>
      <c r="BK77" s="15">
        <f t="shared" si="133"/>
        <v>1</v>
      </c>
      <c r="BL77" s="13">
        <f>'[2]Oct-Dec''25'!BN77+'[2]Apr-Sep''25'!BN77</f>
        <v>8</v>
      </c>
      <c r="BM77" s="13">
        <f>'[2]Oct-Dec''25'!BO77+'[2]Apr-Sep''25'!BO77</f>
        <v>8</v>
      </c>
      <c r="BN77" s="15">
        <f t="shared" si="134"/>
        <v>1</v>
      </c>
      <c r="BO77" s="13">
        <f>'[2]Oct-Dec''25'!BQ77+'[2]Apr-Sep''25'!BQ77</f>
        <v>6</v>
      </c>
      <c r="BP77" s="13">
        <f>'[2]Oct-Dec''25'!BR77+'[2]Apr-Sep''25'!BR77</f>
        <v>6</v>
      </c>
      <c r="BQ77" s="15">
        <f t="shared" si="135"/>
        <v>1</v>
      </c>
      <c r="BR77" s="13">
        <f>'[2]Oct-Dec''25'!BT77+'[2]Apr-Sep''25'!BT77</f>
        <v>4</v>
      </c>
      <c r="BS77" s="13">
        <f>'[2]Oct-Dec''25'!BU77+'[2]Apr-Sep''25'!BU77</f>
        <v>4</v>
      </c>
      <c r="BT77" s="14">
        <f t="shared" si="136"/>
        <v>1</v>
      </c>
      <c r="BU77" s="13">
        <f>'[2]Oct-Dec''25'!BW77+'[2]Apr-Sep''25'!BW77</f>
        <v>0</v>
      </c>
      <c r="BV77" s="13">
        <f>'[2]Oct-Dec''25'!BX77+'[2]Apr-Sep''25'!BX77</f>
        <v>0</v>
      </c>
      <c r="BW77" s="14">
        <f t="shared" si="137"/>
        <v>0</v>
      </c>
      <c r="BX77" s="13">
        <f>'[2]Oct-Dec''25'!BZ77+'[2]Apr-Sep''25'!BZ77</f>
        <v>148</v>
      </c>
      <c r="BY77" s="13">
        <f>'[2]Oct-Dec''25'!CA77+'[2]Apr-Sep''25'!CA77</f>
        <v>158</v>
      </c>
      <c r="BZ77" s="14">
        <f t="shared" si="138"/>
        <v>1.0675675675675675</v>
      </c>
      <c r="CA77" s="13">
        <f>'[2]Oct-Dec''25'!CC77+'[2]Apr-Sep''25'!CC77</f>
        <v>31</v>
      </c>
      <c r="CB77" s="13">
        <f>'[2]Oct-Dec''25'!CD77+'[2]Apr-Sep''25'!CD77</f>
        <v>32</v>
      </c>
      <c r="CC77" s="14">
        <f t="shared" si="139"/>
        <v>1.032258064516129</v>
      </c>
      <c r="CD77" s="13">
        <f>'[2]Oct-Dec''25'!CF77+'[2]Apr-Sep''25'!CF77</f>
        <v>5</v>
      </c>
      <c r="CE77" s="13">
        <f>'[2]Oct-Dec''25'!CG77+'[2]Apr-Sep''25'!CG77</f>
        <v>5</v>
      </c>
      <c r="CF77" s="14">
        <f t="shared" si="140"/>
        <v>1</v>
      </c>
    </row>
    <row r="78" spans="1:84" ht="48" x14ac:dyDescent="0.25">
      <c r="A78" s="12">
        <f>'[2]Oct-Dec''25'!A78</f>
        <v>72</v>
      </c>
      <c r="B78" s="12" t="str">
        <f>'[2]Oct-Dec''25'!B78</f>
        <v>UPNP+</v>
      </c>
      <c r="C78" s="1" t="str">
        <f>'[2]Oct-Dec''25'!C78</f>
        <v>Uttar Pradesh</v>
      </c>
      <c r="D78" s="3" t="str">
        <f>'[2]Oct-Dec''25'!D78</f>
        <v>SIDDHARTH NAGAR WELFARE FOR PEOPLE LIVNG WITH HIV/AIDS SOCIETY</v>
      </c>
      <c r="E78" s="1" t="str">
        <f>'[2]Oct-Dec''25'!E78</f>
        <v>BASTI</v>
      </c>
      <c r="F78" s="12" t="s">
        <v>85</v>
      </c>
      <c r="G78" s="13">
        <f>'[2]Oct-Dec''25'!H78+'[2]Apr-Sep''25'!H78</f>
        <v>444</v>
      </c>
      <c r="H78" s="13">
        <f>'[2]Oct-Dec''25'!I78+'[2]Apr-Sep''25'!I78</f>
        <v>309</v>
      </c>
      <c r="I78" s="7">
        <f t="shared" si="114"/>
        <v>0.69594594594594594</v>
      </c>
      <c r="J78" s="13">
        <f>'[2]Oct-Dec''25'!K78+'[2]Apr-Sep''25'!K78</f>
        <v>16</v>
      </c>
      <c r="K78" s="13">
        <f>'[2]Oct-Dec''25'!L78+'[2]Apr-Sep''25'!L78</f>
        <v>20</v>
      </c>
      <c r="L78" s="7">
        <f>K78/J78</f>
        <v>1.25</v>
      </c>
      <c r="M78" s="13">
        <f>'[2]Oct-Dec''25'!N78+'[2]Apr-Sep''25'!N78</f>
        <v>344</v>
      </c>
      <c r="N78" s="13">
        <f>'[2]Oct-Dec''25'!O78+'[2]Apr-Sep''25'!O78</f>
        <v>344</v>
      </c>
      <c r="O78" s="8">
        <f t="shared" si="115"/>
        <v>1</v>
      </c>
      <c r="P78" s="13">
        <f>'[2]Oct-Dec''25'!Q78+'[2]Apr-Sep''25'!Q78</f>
        <v>325</v>
      </c>
      <c r="Q78" s="13">
        <f>'[2]Oct-Dec''25'!R78+'[2]Apr-Sep''25'!R78</f>
        <v>257</v>
      </c>
      <c r="R78" s="8">
        <f t="shared" si="116"/>
        <v>0.79076923076923078</v>
      </c>
      <c r="S78" s="13">
        <f>'[2]Oct-Dec''25'!T78+'[2]Apr-Sep''25'!T78</f>
        <v>1306</v>
      </c>
      <c r="T78" s="13">
        <f>'[2]Oct-Dec''25'!U78+'[2]Apr-Sep''25'!U78</f>
        <v>977</v>
      </c>
      <c r="U78" s="8">
        <f t="shared" si="117"/>
        <v>0.74808575803981625</v>
      </c>
      <c r="V78" s="13">
        <f>'[2]Oct-Dec''25'!W78+'[2]Apr-Sep''25'!W78</f>
        <v>412</v>
      </c>
      <c r="W78" s="13">
        <f>'[2]Oct-Dec''25'!Y78+'[2]Apr-Sep''25'!Y78</f>
        <v>301</v>
      </c>
      <c r="X78" s="8">
        <f t="shared" si="118"/>
        <v>0.73058252427184467</v>
      </c>
      <c r="Y78" s="13">
        <f>'[2]Oct-Dec''25'!AA78+'[2]Apr-Sep''25'!AA78</f>
        <v>143</v>
      </c>
      <c r="Z78" s="13">
        <f>'[2]Oct-Dec''25'!AB78+'[2]Apr-Sep''25'!AB78</f>
        <v>143</v>
      </c>
      <c r="AA78" s="8">
        <f t="shared" si="119"/>
        <v>1</v>
      </c>
      <c r="AB78" s="13">
        <f>'[2]Oct-Dec''25'!AD78+'[2]Apr-Sep''25'!AD78</f>
        <v>108</v>
      </c>
      <c r="AC78" s="13">
        <f>'[2]Oct-Dec''25'!AE78+'[2]Apr-Sep''25'!AE78</f>
        <v>35</v>
      </c>
      <c r="AD78" s="8">
        <f t="shared" si="120"/>
        <v>0.32407407407407407</v>
      </c>
      <c r="AE78" s="13">
        <f>'[2]Oct-Dec''25'!AJ78+'[2]Apr-Sep''25'!AJ78</f>
        <v>1079</v>
      </c>
      <c r="AF78" s="13">
        <f>'[2]Oct-Dec''25'!AK78+'[2]Apr-Sep''25'!AK78</f>
        <v>642</v>
      </c>
      <c r="AG78" s="8">
        <f t="shared" si="121"/>
        <v>0.59499536607970338</v>
      </c>
      <c r="AH78" s="13">
        <f>'[2]Oct-Dec''25'!AM78+'[2]Apr-Sep''25'!AM78</f>
        <v>0</v>
      </c>
      <c r="AI78" s="13">
        <f>'[2]Oct-Dec''25'!AN78+'[2]Apr-Sep''25'!AN78</f>
        <v>0</v>
      </c>
      <c r="AJ78" s="8" t="e">
        <f t="shared" si="122"/>
        <v>#DIV/0!</v>
      </c>
      <c r="AK78" s="13">
        <f>'[2]Oct-Dec''25'!AP78+'[2]Apr-Sep''25'!AP78</f>
        <v>110</v>
      </c>
      <c r="AL78" s="13">
        <f>'[2]Oct-Dec''25'!AQ78+'[2]Apr-Sep''25'!AQ78</f>
        <v>47</v>
      </c>
      <c r="AM78" s="8">
        <f t="shared" si="123"/>
        <v>0.42727272727272725</v>
      </c>
      <c r="AN78" s="13">
        <f>'[2]Oct-Dec''25'!AS78+'[2]Apr-Sep''25'!AS78</f>
        <v>17</v>
      </c>
      <c r="AO78" s="13">
        <f>'[2]Oct-Dec''25'!AT78+'[2]Apr-Sep''25'!AT78</f>
        <v>17</v>
      </c>
      <c r="AP78" s="8">
        <f t="shared" si="124"/>
        <v>1</v>
      </c>
      <c r="AQ78" s="13">
        <f>'[2]Oct-Dec''25'!AV78+'[2]Apr-Sep''25'!AV78</f>
        <v>1</v>
      </c>
      <c r="AR78" s="13">
        <f>'[2]Oct-Dec''25'!AW78+'[2]Apr-Sep''25'!AW78</f>
        <v>1</v>
      </c>
      <c r="AS78" s="8">
        <f t="shared" si="125"/>
        <v>1</v>
      </c>
      <c r="AT78" s="13">
        <f>'[2]Oct-Dec''25'!AY78+'[2]Apr-Sep''25'!AY78</f>
        <v>13</v>
      </c>
      <c r="AU78" s="13">
        <f>'[2]Oct-Dec''25'!AZ78+'[2]Apr-Sep''25'!AZ78</f>
        <v>13</v>
      </c>
      <c r="AV78" s="8">
        <f t="shared" si="126"/>
        <v>1</v>
      </c>
      <c r="AW78" s="9">
        <f t="shared" si="127"/>
        <v>31</v>
      </c>
      <c r="AX78" s="9">
        <f t="shared" si="128"/>
        <v>31</v>
      </c>
      <c r="AY78" s="8">
        <f t="shared" si="129"/>
        <v>1</v>
      </c>
      <c r="AZ78" s="13">
        <f>'[2]Oct-Dec''25'!BB78+'[2]Apr-Sep''25'!BB78</f>
        <v>69</v>
      </c>
      <c r="BA78" s="13">
        <f>'[2]Oct-Dec''25'!BC78+'[2]Apr-Sep''25'!BC78</f>
        <v>36</v>
      </c>
      <c r="BB78" s="14">
        <f t="shared" si="130"/>
        <v>0.52173913043478259</v>
      </c>
      <c r="BC78" s="13">
        <f>'[2]Oct-Dec''25'!BE78+'[2]Apr-Sep''25'!BE78</f>
        <v>23</v>
      </c>
      <c r="BD78" s="13">
        <f>'[2]Oct-Dec''25'!BF78+'[2]Apr-Sep''25'!BF78</f>
        <v>23</v>
      </c>
      <c r="BE78" s="14">
        <f t="shared" si="131"/>
        <v>1</v>
      </c>
      <c r="BF78" s="13">
        <f>'[2]Oct-Dec''25'!BH78+'[2]Apr-Sep''25'!BH78</f>
        <v>15</v>
      </c>
      <c r="BG78" s="13">
        <f>'[2]Oct-Dec''25'!BI78+'[2]Apr-Sep''25'!BI78</f>
        <v>14</v>
      </c>
      <c r="BH78" s="14">
        <f t="shared" si="132"/>
        <v>0.93333333333333335</v>
      </c>
      <c r="BI78" s="13">
        <f>'[2]Oct-Dec''25'!BK78+'[2]Apr-Sep''25'!BK78</f>
        <v>5</v>
      </c>
      <c r="BJ78" s="13">
        <f>'[2]Oct-Dec''25'!BL78+'[2]Apr-Sep''25'!BL78</f>
        <v>5</v>
      </c>
      <c r="BK78" s="15">
        <f t="shared" si="133"/>
        <v>1</v>
      </c>
      <c r="BL78" s="13">
        <f>'[2]Oct-Dec''25'!BN78+'[2]Apr-Sep''25'!BN78</f>
        <v>8</v>
      </c>
      <c r="BM78" s="13">
        <f>'[2]Oct-Dec''25'!BO78+'[2]Apr-Sep''25'!BO78</f>
        <v>8</v>
      </c>
      <c r="BN78" s="15">
        <f t="shared" si="134"/>
        <v>1</v>
      </c>
      <c r="BO78" s="13">
        <f>'[2]Oct-Dec''25'!BQ78+'[2]Apr-Sep''25'!BQ78</f>
        <v>6</v>
      </c>
      <c r="BP78" s="13">
        <f>'[2]Oct-Dec''25'!BR78+'[2]Apr-Sep''25'!BR78</f>
        <v>5</v>
      </c>
      <c r="BQ78" s="15">
        <f t="shared" si="135"/>
        <v>0.83333333333333337</v>
      </c>
      <c r="BR78" s="13">
        <f>'[2]Oct-Dec''25'!BT78+'[2]Apr-Sep''25'!BT78</f>
        <v>2</v>
      </c>
      <c r="BS78" s="13">
        <f>'[2]Oct-Dec''25'!BU78+'[2]Apr-Sep''25'!BU78</f>
        <v>0</v>
      </c>
      <c r="BT78" s="14">
        <f t="shared" si="136"/>
        <v>0</v>
      </c>
      <c r="BU78" s="13">
        <f>'[2]Oct-Dec''25'!BW78+'[2]Apr-Sep''25'!BW78</f>
        <v>0</v>
      </c>
      <c r="BV78" s="13">
        <f>'[2]Oct-Dec''25'!BX78+'[2]Apr-Sep''25'!BX78</f>
        <v>0</v>
      </c>
      <c r="BW78" s="14">
        <f t="shared" si="137"/>
        <v>0</v>
      </c>
      <c r="BX78" s="13">
        <f>'[2]Oct-Dec''25'!BZ78+'[2]Apr-Sep''25'!BZ78</f>
        <v>309</v>
      </c>
      <c r="BY78" s="13">
        <f>'[2]Oct-Dec''25'!CA78+'[2]Apr-Sep''25'!CA78</f>
        <v>309</v>
      </c>
      <c r="BZ78" s="14">
        <f t="shared" si="138"/>
        <v>1</v>
      </c>
      <c r="CA78" s="13">
        <f>'[2]Oct-Dec''25'!CC78+'[2]Apr-Sep''25'!CC78</f>
        <v>259</v>
      </c>
      <c r="CB78" s="13">
        <f>'[2]Oct-Dec''25'!CD78+'[2]Apr-Sep''25'!CD78</f>
        <v>258</v>
      </c>
      <c r="CC78" s="14">
        <f t="shared" si="139"/>
        <v>0.99613899613899615</v>
      </c>
      <c r="CD78" s="13">
        <f>'[2]Oct-Dec''25'!CF78+'[2]Apr-Sep''25'!CF78</f>
        <v>0</v>
      </c>
      <c r="CE78" s="13">
        <f>'[2]Oct-Dec''25'!CG78+'[2]Apr-Sep''25'!CG78</f>
        <v>0</v>
      </c>
      <c r="CF78" s="14">
        <f t="shared" si="140"/>
        <v>0</v>
      </c>
    </row>
    <row r="79" spans="1:84" ht="36" x14ac:dyDescent="0.25">
      <c r="A79" s="12">
        <f>'[2]Oct-Dec''25'!A79</f>
        <v>73</v>
      </c>
      <c r="B79" s="12" t="str">
        <f>'[2]Oct-Dec''25'!B79</f>
        <v>UPNP+</v>
      </c>
      <c r="C79" s="1" t="str">
        <f>'[2]Oct-Dec''25'!C79</f>
        <v>Uttar Pradesh</v>
      </c>
      <c r="D79" s="3" t="str">
        <f>'[2]Oct-Dec''25'!D79</f>
        <v>DEORIA WELFARE FOR PEOPLE LIVING WITH HIV/AIDS SOCIETY</v>
      </c>
      <c r="E79" s="1" t="str">
        <f>'[2]Oct-Dec''25'!E79</f>
        <v>MAHARAJGANJ</v>
      </c>
      <c r="F79" s="12" t="s">
        <v>85</v>
      </c>
      <c r="G79" s="13">
        <f>'[2]Oct-Dec''25'!H79+'[2]Apr-Sep''25'!H79</f>
        <v>256</v>
      </c>
      <c r="H79" s="13">
        <f>'[2]Oct-Dec''25'!I79+'[2]Apr-Sep''25'!I79</f>
        <v>227</v>
      </c>
      <c r="I79" s="7">
        <f t="shared" si="114"/>
        <v>0.88671875</v>
      </c>
      <c r="J79" s="13">
        <f>'[2]Oct-Dec''25'!K79+'[2]Apr-Sep''25'!K79</f>
        <v>1</v>
      </c>
      <c r="K79" s="13">
        <f>'[2]Oct-Dec''25'!L79+'[2]Apr-Sep''25'!L79</f>
        <v>1</v>
      </c>
      <c r="L79" s="7">
        <f>K79/J79</f>
        <v>1</v>
      </c>
      <c r="M79" s="13">
        <f>'[2]Oct-Dec''25'!N79+'[2]Apr-Sep''25'!N79</f>
        <v>238</v>
      </c>
      <c r="N79" s="13">
        <f>'[2]Oct-Dec''25'!O79+'[2]Apr-Sep''25'!O79</f>
        <v>238</v>
      </c>
      <c r="O79" s="8">
        <f t="shared" si="115"/>
        <v>1</v>
      </c>
      <c r="P79" s="13">
        <f>'[2]Oct-Dec''25'!Q79+'[2]Apr-Sep''25'!Q79</f>
        <v>185</v>
      </c>
      <c r="Q79" s="13">
        <f>'[2]Oct-Dec''25'!R79+'[2]Apr-Sep''25'!R79</f>
        <v>166</v>
      </c>
      <c r="R79" s="8">
        <f t="shared" si="116"/>
        <v>0.89729729729729735</v>
      </c>
      <c r="S79" s="13">
        <f>'[2]Oct-Dec''25'!T79+'[2]Apr-Sep''25'!T79</f>
        <v>1984</v>
      </c>
      <c r="T79" s="13">
        <f>'[2]Oct-Dec''25'!U79+'[2]Apr-Sep''25'!U79</f>
        <v>1610</v>
      </c>
      <c r="U79" s="8">
        <f t="shared" si="117"/>
        <v>0.811491935483871</v>
      </c>
      <c r="V79" s="13">
        <f>'[2]Oct-Dec''25'!W79+'[2]Apr-Sep''25'!W79</f>
        <v>496</v>
      </c>
      <c r="W79" s="13">
        <f>'[2]Oct-Dec''25'!Y79+'[2]Apr-Sep''25'!Y79</f>
        <v>504</v>
      </c>
      <c r="X79" s="8">
        <f t="shared" si="118"/>
        <v>1.0161290322580645</v>
      </c>
      <c r="Y79" s="13">
        <f>'[2]Oct-Dec''25'!AA79+'[2]Apr-Sep''25'!AA79</f>
        <v>97</v>
      </c>
      <c r="Z79" s="13">
        <f>'[2]Oct-Dec''25'!AB79+'[2]Apr-Sep''25'!AB79</f>
        <v>97</v>
      </c>
      <c r="AA79" s="8">
        <f t="shared" si="119"/>
        <v>1</v>
      </c>
      <c r="AB79" s="13">
        <f>'[2]Oct-Dec''25'!AD79+'[2]Apr-Sep''25'!AD79</f>
        <v>67</v>
      </c>
      <c r="AC79" s="13">
        <f>'[2]Oct-Dec''25'!AE79+'[2]Apr-Sep''25'!AE79</f>
        <v>62</v>
      </c>
      <c r="AD79" s="8">
        <f t="shared" si="120"/>
        <v>0.92537313432835822</v>
      </c>
      <c r="AE79" s="13">
        <f>'[2]Oct-Dec''25'!AJ79+'[2]Apr-Sep''25'!AJ79</f>
        <v>656</v>
      </c>
      <c r="AF79" s="13">
        <f>'[2]Oct-Dec''25'!AK79+'[2]Apr-Sep''25'!AK79</f>
        <v>659</v>
      </c>
      <c r="AG79" s="8">
        <f t="shared" si="121"/>
        <v>1.0045731707317074</v>
      </c>
      <c r="AH79" s="13">
        <f>'[2]Oct-Dec''25'!AM79+'[2]Apr-Sep''25'!AM79</f>
        <v>6</v>
      </c>
      <c r="AI79" s="13">
        <f>'[2]Oct-Dec''25'!AN79+'[2]Apr-Sep''25'!AN79</f>
        <v>6</v>
      </c>
      <c r="AJ79" s="8">
        <f t="shared" si="122"/>
        <v>1</v>
      </c>
      <c r="AK79" s="13">
        <f>'[2]Oct-Dec''25'!AP79+'[2]Apr-Sep''25'!AP79</f>
        <v>141</v>
      </c>
      <c r="AL79" s="13">
        <f>'[2]Oct-Dec''25'!AQ79+'[2]Apr-Sep''25'!AQ79</f>
        <v>140</v>
      </c>
      <c r="AM79" s="8">
        <f t="shared" si="123"/>
        <v>0.99290780141843971</v>
      </c>
      <c r="AN79" s="13">
        <f>'[2]Oct-Dec''25'!AS79+'[2]Apr-Sep''25'!AS79</f>
        <v>9</v>
      </c>
      <c r="AO79" s="13">
        <f>'[2]Oct-Dec''25'!AT79+'[2]Apr-Sep''25'!AT79</f>
        <v>8</v>
      </c>
      <c r="AP79" s="8">
        <f t="shared" si="124"/>
        <v>0.88888888888888884</v>
      </c>
      <c r="AQ79" s="13">
        <f>'[2]Oct-Dec''25'!AV79+'[2]Apr-Sep''25'!AV79</f>
        <v>0</v>
      </c>
      <c r="AR79" s="13">
        <f>'[2]Oct-Dec''25'!AW79+'[2]Apr-Sep''25'!AW79</f>
        <v>0</v>
      </c>
      <c r="AS79" s="8" t="e">
        <f t="shared" si="125"/>
        <v>#DIV/0!</v>
      </c>
      <c r="AT79" s="13">
        <f>'[2]Oct-Dec''25'!AY79+'[2]Apr-Sep''25'!AY79</f>
        <v>5</v>
      </c>
      <c r="AU79" s="13">
        <f>'[2]Oct-Dec''25'!AZ79+'[2]Apr-Sep''25'!AZ79</f>
        <v>3</v>
      </c>
      <c r="AV79" s="8">
        <f t="shared" si="126"/>
        <v>0.6</v>
      </c>
      <c r="AW79" s="9">
        <f t="shared" si="127"/>
        <v>14</v>
      </c>
      <c r="AX79" s="9">
        <f t="shared" si="128"/>
        <v>11</v>
      </c>
      <c r="AY79" s="8">
        <f t="shared" si="129"/>
        <v>0.7857142857142857</v>
      </c>
      <c r="AZ79" s="13">
        <f>'[2]Oct-Dec''25'!BB79+'[2]Apr-Sep''25'!BB79</f>
        <v>55</v>
      </c>
      <c r="BA79" s="13">
        <f>'[2]Oct-Dec''25'!BC79+'[2]Apr-Sep''25'!BC79</f>
        <v>56</v>
      </c>
      <c r="BB79" s="14">
        <f t="shared" si="130"/>
        <v>1.0181818181818181</v>
      </c>
      <c r="BC79" s="13">
        <f>'[2]Oct-Dec''25'!BE79+'[2]Apr-Sep''25'!BE79</f>
        <v>9</v>
      </c>
      <c r="BD79" s="13">
        <f>'[2]Oct-Dec''25'!BF79+'[2]Apr-Sep''25'!BF79</f>
        <v>9</v>
      </c>
      <c r="BE79" s="14">
        <f t="shared" si="131"/>
        <v>1</v>
      </c>
      <c r="BF79" s="13">
        <f>'[2]Oct-Dec''25'!BH79+'[2]Apr-Sep''25'!BH79</f>
        <v>10</v>
      </c>
      <c r="BG79" s="13">
        <f>'[2]Oct-Dec''25'!BI79+'[2]Apr-Sep''25'!BI79</f>
        <v>10</v>
      </c>
      <c r="BH79" s="14">
        <f t="shared" si="132"/>
        <v>1</v>
      </c>
      <c r="BI79" s="13">
        <f>'[2]Oct-Dec''25'!BK79+'[2]Apr-Sep''25'!BK79</f>
        <v>6</v>
      </c>
      <c r="BJ79" s="13">
        <f>'[2]Oct-Dec''25'!BL79+'[2]Apr-Sep''25'!BL79</f>
        <v>6</v>
      </c>
      <c r="BK79" s="15">
        <f t="shared" si="133"/>
        <v>1</v>
      </c>
      <c r="BL79" s="13">
        <f>'[2]Oct-Dec''25'!BN79+'[2]Apr-Sep''25'!BN79</f>
        <v>1</v>
      </c>
      <c r="BM79" s="13">
        <f>'[2]Oct-Dec''25'!BO79+'[2]Apr-Sep''25'!BO79</f>
        <v>1</v>
      </c>
      <c r="BN79" s="15">
        <f t="shared" si="134"/>
        <v>1</v>
      </c>
      <c r="BO79" s="13">
        <f>'[2]Oct-Dec''25'!BQ79+'[2]Apr-Sep''25'!BQ79</f>
        <v>0</v>
      </c>
      <c r="BP79" s="13">
        <f>'[2]Oct-Dec''25'!BR79+'[2]Apr-Sep''25'!BR79</f>
        <v>0</v>
      </c>
      <c r="BQ79" s="15">
        <f t="shared" si="135"/>
        <v>0</v>
      </c>
      <c r="BR79" s="13">
        <f>'[2]Oct-Dec''25'!BT79+'[2]Apr-Sep''25'!BT79</f>
        <v>2</v>
      </c>
      <c r="BS79" s="13">
        <f>'[2]Oct-Dec''25'!BU79+'[2]Apr-Sep''25'!BU79</f>
        <v>2</v>
      </c>
      <c r="BT79" s="14">
        <f t="shared" si="136"/>
        <v>1</v>
      </c>
      <c r="BU79" s="13">
        <f>'[2]Oct-Dec''25'!BW79+'[2]Apr-Sep''25'!BW79</f>
        <v>0</v>
      </c>
      <c r="BV79" s="13">
        <f>'[2]Oct-Dec''25'!BX79+'[2]Apr-Sep''25'!BX79</f>
        <v>0</v>
      </c>
      <c r="BW79" s="14">
        <f t="shared" si="137"/>
        <v>0</v>
      </c>
      <c r="BX79" s="13">
        <f>'[2]Oct-Dec''25'!BZ79+'[2]Apr-Sep''25'!BZ79</f>
        <v>227</v>
      </c>
      <c r="BY79" s="13">
        <f>'[2]Oct-Dec''25'!CA79+'[2]Apr-Sep''25'!CA79</f>
        <v>227</v>
      </c>
      <c r="BZ79" s="14">
        <f t="shared" si="138"/>
        <v>1</v>
      </c>
      <c r="CA79" s="13">
        <f>'[2]Oct-Dec''25'!CC79+'[2]Apr-Sep''25'!CC79</f>
        <v>121</v>
      </c>
      <c r="CB79" s="13">
        <f>'[2]Oct-Dec''25'!CD79+'[2]Apr-Sep''25'!CD79</f>
        <v>119</v>
      </c>
      <c r="CC79" s="14">
        <f t="shared" si="139"/>
        <v>0.98347107438016534</v>
      </c>
      <c r="CD79" s="13">
        <f>'[2]Oct-Dec''25'!CF79+'[2]Apr-Sep''25'!CF79</f>
        <v>19</v>
      </c>
      <c r="CE79" s="13">
        <f>'[2]Oct-Dec''25'!CG79+'[2]Apr-Sep''25'!CG79</f>
        <v>19</v>
      </c>
      <c r="CF79" s="14">
        <f t="shared" si="140"/>
        <v>1</v>
      </c>
    </row>
    <row r="80" spans="1:84" ht="24" x14ac:dyDescent="0.25">
      <c r="A80" s="12">
        <f>'[2]Oct-Dec''25'!A80</f>
        <v>74</v>
      </c>
      <c r="B80" s="12" t="str">
        <f>'[2]Oct-Dec''25'!B80</f>
        <v>UPNP+</v>
      </c>
      <c r="C80" s="1" t="str">
        <f>'[2]Oct-Dec''25'!C80</f>
        <v>Uttar Pradesh</v>
      </c>
      <c r="D80" s="3" t="str">
        <f>'[2]Oct-Dec''25'!D80</f>
        <v>BASERA SAMAJIK SANSTHAN</v>
      </c>
      <c r="E80" s="1" t="str">
        <f>'[2]Oct-Dec''25'!E80</f>
        <v>GHAZIABAD</v>
      </c>
      <c r="F80" s="12" t="s">
        <v>85</v>
      </c>
      <c r="G80" s="13">
        <f>'[2]Oct-Dec''25'!H80+'[2]Apr-Sep''25'!H80</f>
        <v>1123</v>
      </c>
      <c r="H80" s="13">
        <f>'[2]Oct-Dec''25'!I80+'[2]Apr-Sep''25'!I80</f>
        <v>960</v>
      </c>
      <c r="I80" s="7">
        <f t="shared" si="114"/>
        <v>0.85485307212822792</v>
      </c>
      <c r="J80" s="13">
        <f>'[2]Oct-Dec''25'!K80+'[2]Apr-Sep''25'!K80</f>
        <v>29</v>
      </c>
      <c r="K80" s="13">
        <f>'[2]Oct-Dec''25'!L80+'[2]Apr-Sep''25'!L80</f>
        <v>4</v>
      </c>
      <c r="L80" s="7">
        <f>K80/J80</f>
        <v>0.13793103448275862</v>
      </c>
      <c r="M80" s="13">
        <f>'[2]Oct-Dec''25'!N80+'[2]Apr-Sep''25'!N80</f>
        <v>979</v>
      </c>
      <c r="N80" s="13">
        <f>'[2]Oct-Dec''25'!O80+'[2]Apr-Sep''25'!O80</f>
        <v>979</v>
      </c>
      <c r="O80" s="8">
        <f t="shared" si="115"/>
        <v>1</v>
      </c>
      <c r="P80" s="13">
        <f>'[2]Oct-Dec''25'!Q80+'[2]Apr-Sep''25'!Q80</f>
        <v>700</v>
      </c>
      <c r="Q80" s="13">
        <f>'[2]Oct-Dec''25'!R80+'[2]Apr-Sep''25'!R80</f>
        <v>548</v>
      </c>
      <c r="R80" s="8">
        <f t="shared" si="116"/>
        <v>0.78285714285714281</v>
      </c>
      <c r="S80" s="13">
        <f>'[2]Oct-Dec''25'!T80+'[2]Apr-Sep''25'!T80</f>
        <v>2381</v>
      </c>
      <c r="T80" s="13">
        <f>'[2]Oct-Dec''25'!U80+'[2]Apr-Sep''25'!U80</f>
        <v>1655</v>
      </c>
      <c r="U80" s="8">
        <f t="shared" si="117"/>
        <v>0.69508609827803447</v>
      </c>
      <c r="V80" s="13">
        <f>'[2]Oct-Dec''25'!W80+'[2]Apr-Sep''25'!W80</f>
        <v>1003</v>
      </c>
      <c r="W80" s="13">
        <f>'[2]Oct-Dec''25'!Y80+'[2]Apr-Sep''25'!Y80</f>
        <v>701</v>
      </c>
      <c r="X80" s="8">
        <f t="shared" si="118"/>
        <v>0.69890329012961117</v>
      </c>
      <c r="Y80" s="13">
        <f>'[2]Oct-Dec''25'!AA80+'[2]Apr-Sep''25'!AA80</f>
        <v>315</v>
      </c>
      <c r="Z80" s="13">
        <f>'[2]Oct-Dec''25'!AB80+'[2]Apr-Sep''25'!AB80</f>
        <v>315</v>
      </c>
      <c r="AA80" s="8">
        <f t="shared" si="119"/>
        <v>1</v>
      </c>
      <c r="AB80" s="13">
        <f>'[2]Oct-Dec''25'!AD80+'[2]Apr-Sep''25'!AD80</f>
        <v>336</v>
      </c>
      <c r="AC80" s="13">
        <f>'[2]Oct-Dec''25'!AE80+'[2]Apr-Sep''25'!AE80</f>
        <v>218</v>
      </c>
      <c r="AD80" s="8">
        <f t="shared" si="120"/>
        <v>0.64880952380952384</v>
      </c>
      <c r="AE80" s="13">
        <f>'[2]Oct-Dec''25'!AJ80+'[2]Apr-Sep''25'!AJ80</f>
        <v>1275</v>
      </c>
      <c r="AF80" s="13">
        <f>'[2]Oct-Dec''25'!AK80+'[2]Apr-Sep''25'!AK80</f>
        <v>1135</v>
      </c>
      <c r="AG80" s="8">
        <f t="shared" si="121"/>
        <v>0.8901960784313725</v>
      </c>
      <c r="AH80" s="13">
        <f>'[2]Oct-Dec''25'!AM80+'[2]Apr-Sep''25'!AM80</f>
        <v>4</v>
      </c>
      <c r="AI80" s="13">
        <f>'[2]Oct-Dec''25'!AN80+'[2]Apr-Sep''25'!AN80</f>
        <v>4</v>
      </c>
      <c r="AJ80" s="8">
        <f t="shared" si="122"/>
        <v>1</v>
      </c>
      <c r="AK80" s="13">
        <f>'[2]Oct-Dec''25'!AP80+'[2]Apr-Sep''25'!AP80</f>
        <v>46</v>
      </c>
      <c r="AL80" s="13">
        <f>'[2]Oct-Dec''25'!AQ80+'[2]Apr-Sep''25'!AQ80</f>
        <v>47</v>
      </c>
      <c r="AM80" s="8">
        <f t="shared" si="123"/>
        <v>1.0217391304347827</v>
      </c>
      <c r="AN80" s="13">
        <f>'[2]Oct-Dec''25'!AS80+'[2]Apr-Sep''25'!AS80</f>
        <v>177</v>
      </c>
      <c r="AO80" s="13">
        <f>'[2]Oct-Dec''25'!AT80+'[2]Apr-Sep''25'!AT80</f>
        <v>173</v>
      </c>
      <c r="AP80" s="8">
        <f t="shared" si="124"/>
        <v>0.97740112994350281</v>
      </c>
      <c r="AQ80" s="13">
        <f>'[2]Oct-Dec''25'!AV80+'[2]Apr-Sep''25'!AV80</f>
        <v>4</v>
      </c>
      <c r="AR80" s="13">
        <f>'[2]Oct-Dec''25'!AW80+'[2]Apr-Sep''25'!AW80</f>
        <v>4</v>
      </c>
      <c r="AS80" s="8">
        <f t="shared" si="125"/>
        <v>1</v>
      </c>
      <c r="AT80" s="13">
        <f>'[2]Oct-Dec''25'!AY80+'[2]Apr-Sep''25'!AY80</f>
        <v>124</v>
      </c>
      <c r="AU80" s="13">
        <f>'[2]Oct-Dec''25'!AZ80+'[2]Apr-Sep''25'!AZ80</f>
        <v>122</v>
      </c>
      <c r="AV80" s="8">
        <f t="shared" si="126"/>
        <v>0.9838709677419355</v>
      </c>
      <c r="AW80" s="9">
        <f t="shared" si="127"/>
        <v>305</v>
      </c>
      <c r="AX80" s="9">
        <f t="shared" si="128"/>
        <v>299</v>
      </c>
      <c r="AY80" s="8">
        <f t="shared" si="129"/>
        <v>0.98032786885245904</v>
      </c>
      <c r="AZ80" s="13">
        <f>'[2]Oct-Dec''25'!BB80+'[2]Apr-Sep''25'!BB80</f>
        <v>105</v>
      </c>
      <c r="BA80" s="13">
        <f>'[2]Oct-Dec''25'!BC80+'[2]Apr-Sep''25'!BC80</f>
        <v>194</v>
      </c>
      <c r="BB80" s="14">
        <f t="shared" si="130"/>
        <v>1.8476190476190477</v>
      </c>
      <c r="BC80" s="13">
        <f>'[2]Oct-Dec''25'!BE80+'[2]Apr-Sep''25'!BE80</f>
        <v>53</v>
      </c>
      <c r="BD80" s="13">
        <f>'[2]Oct-Dec''25'!BF80+'[2]Apr-Sep''25'!BF80</f>
        <v>53</v>
      </c>
      <c r="BE80" s="14">
        <f t="shared" si="131"/>
        <v>1</v>
      </c>
      <c r="BF80" s="13">
        <f>'[2]Oct-Dec''25'!BH80+'[2]Apr-Sep''25'!BH80</f>
        <v>61</v>
      </c>
      <c r="BG80" s="13">
        <f>'[2]Oct-Dec''25'!BI80+'[2]Apr-Sep''25'!BI80</f>
        <v>60</v>
      </c>
      <c r="BH80" s="14">
        <f t="shared" si="132"/>
        <v>0.98360655737704916</v>
      </c>
      <c r="BI80" s="13">
        <f>'[2]Oct-Dec''25'!BK80+'[2]Apr-Sep''25'!BK80</f>
        <v>24</v>
      </c>
      <c r="BJ80" s="13">
        <f>'[2]Oct-Dec''25'!BL80+'[2]Apr-Sep''25'!BL80</f>
        <v>24</v>
      </c>
      <c r="BK80" s="15">
        <f t="shared" si="133"/>
        <v>1</v>
      </c>
      <c r="BL80" s="13">
        <f>'[2]Oct-Dec''25'!BN80+'[2]Apr-Sep''25'!BN80</f>
        <v>21</v>
      </c>
      <c r="BM80" s="13">
        <f>'[2]Oct-Dec''25'!BO80+'[2]Apr-Sep''25'!BO80</f>
        <v>21</v>
      </c>
      <c r="BN80" s="15">
        <f t="shared" si="134"/>
        <v>1</v>
      </c>
      <c r="BO80" s="13">
        <f>'[2]Oct-Dec''25'!BQ80+'[2]Apr-Sep''25'!BQ80</f>
        <v>12</v>
      </c>
      <c r="BP80" s="13">
        <f>'[2]Oct-Dec''25'!BR80+'[2]Apr-Sep''25'!BR80</f>
        <v>12</v>
      </c>
      <c r="BQ80" s="15">
        <f t="shared" si="135"/>
        <v>1</v>
      </c>
      <c r="BR80" s="13">
        <f>'[2]Oct-Dec''25'!BT80+'[2]Apr-Sep''25'!BT80</f>
        <v>7</v>
      </c>
      <c r="BS80" s="13">
        <f>'[2]Oct-Dec''25'!BU80+'[2]Apr-Sep''25'!BU80</f>
        <v>7</v>
      </c>
      <c r="BT80" s="14">
        <f t="shared" si="136"/>
        <v>1</v>
      </c>
      <c r="BU80" s="13">
        <f>'[2]Oct-Dec''25'!BW80+'[2]Apr-Sep''25'!BW80</f>
        <v>2</v>
      </c>
      <c r="BV80" s="13">
        <f>'[2]Oct-Dec''25'!BX80+'[2]Apr-Sep''25'!BX80</f>
        <v>2</v>
      </c>
      <c r="BW80" s="14">
        <f t="shared" si="137"/>
        <v>1</v>
      </c>
      <c r="BX80" s="13">
        <f>'[2]Oct-Dec''25'!BZ80+'[2]Apr-Sep''25'!BZ80</f>
        <v>960</v>
      </c>
      <c r="BY80" s="13">
        <f>'[2]Oct-Dec''25'!CA80+'[2]Apr-Sep''25'!CA80</f>
        <v>960</v>
      </c>
      <c r="BZ80" s="14">
        <f t="shared" si="138"/>
        <v>1</v>
      </c>
      <c r="CA80" s="13">
        <f>'[2]Oct-Dec''25'!CC80+'[2]Apr-Sep''25'!CC80</f>
        <v>625</v>
      </c>
      <c r="CB80" s="13">
        <f>'[2]Oct-Dec''25'!CD80+'[2]Apr-Sep''25'!CD80</f>
        <v>663</v>
      </c>
      <c r="CC80" s="14">
        <f t="shared" si="139"/>
        <v>1.0608</v>
      </c>
      <c r="CD80" s="13">
        <f>'[2]Oct-Dec''25'!CF80+'[2]Apr-Sep''25'!CF80</f>
        <v>10</v>
      </c>
      <c r="CE80" s="13">
        <f>'[2]Oct-Dec''25'!CG80+'[2]Apr-Sep''25'!CG80</f>
        <v>10</v>
      </c>
      <c r="CF80" s="14">
        <f t="shared" si="140"/>
        <v>1</v>
      </c>
    </row>
    <row r="81" spans="1:84" ht="36" x14ac:dyDescent="0.25">
      <c r="A81" s="12">
        <f>'[2]Oct-Dec''25'!A81</f>
        <v>75</v>
      </c>
      <c r="B81" s="12" t="str">
        <f>'[2]Oct-Dec''25'!B81</f>
        <v>UPNP+</v>
      </c>
      <c r="C81" s="1" t="str">
        <f>'[2]Oct-Dec''25'!C81</f>
        <v>Uttar Pradesh</v>
      </c>
      <c r="D81" s="3" t="str">
        <f>'[2]Oct-Dec''25'!D81</f>
        <v>MORADABAD NETWORK POSITIVE WELFARE SOCIETY</v>
      </c>
      <c r="E81" s="1" t="str">
        <f>'[2]Oct-Dec''25'!E81</f>
        <v>SAHARANPUR</v>
      </c>
      <c r="F81" s="12" t="s">
        <v>85</v>
      </c>
      <c r="G81" s="13">
        <f>'[2]Oct-Dec''25'!H81+'[2]Apr-Sep''25'!H81</f>
        <v>574</v>
      </c>
      <c r="H81" s="13">
        <f>'[2]Oct-Dec''25'!I81+'[2]Apr-Sep''25'!I81</f>
        <v>500</v>
      </c>
      <c r="I81" s="7">
        <f t="shared" si="114"/>
        <v>0.87108013937282225</v>
      </c>
      <c r="J81" s="13">
        <f>'[2]Oct-Dec''25'!K81+'[2]Apr-Sep''25'!K81</f>
        <v>29</v>
      </c>
      <c r="K81" s="13">
        <f>'[2]Oct-Dec''25'!L81+'[2]Apr-Sep''25'!L81</f>
        <v>22</v>
      </c>
      <c r="L81" s="7">
        <f>K81/J81</f>
        <v>0.75862068965517238</v>
      </c>
      <c r="M81" s="13">
        <f>'[2]Oct-Dec''25'!N81+'[2]Apr-Sep''25'!N81</f>
        <v>572</v>
      </c>
      <c r="N81" s="13">
        <f>'[2]Oct-Dec''25'!O81+'[2]Apr-Sep''25'!O81</f>
        <v>572</v>
      </c>
      <c r="O81" s="8">
        <f t="shared" si="115"/>
        <v>1</v>
      </c>
      <c r="P81" s="13">
        <f>'[2]Oct-Dec''25'!Q81+'[2]Apr-Sep''25'!Q81</f>
        <v>473</v>
      </c>
      <c r="Q81" s="13">
        <f>'[2]Oct-Dec''25'!R81+'[2]Apr-Sep''25'!R81</f>
        <v>406</v>
      </c>
      <c r="R81" s="8">
        <f t="shared" si="116"/>
        <v>0.85835095137420714</v>
      </c>
      <c r="S81" s="13">
        <f>'[2]Oct-Dec''25'!T81+'[2]Apr-Sep''25'!T81</f>
        <v>2388</v>
      </c>
      <c r="T81" s="13">
        <f>'[2]Oct-Dec''25'!U81+'[2]Apr-Sep''25'!U81</f>
        <v>1950</v>
      </c>
      <c r="U81" s="8">
        <f t="shared" si="117"/>
        <v>0.81658291457286436</v>
      </c>
      <c r="V81" s="13">
        <f>'[2]Oct-Dec''25'!W81+'[2]Apr-Sep''25'!W81</f>
        <v>850</v>
      </c>
      <c r="W81" s="13">
        <f>'[2]Oct-Dec''25'!Y81+'[2]Apr-Sep''25'!Y81</f>
        <v>758</v>
      </c>
      <c r="X81" s="8">
        <f t="shared" si="118"/>
        <v>0.8917647058823529</v>
      </c>
      <c r="Y81" s="13">
        <f>'[2]Oct-Dec''25'!AA81+'[2]Apr-Sep''25'!AA81</f>
        <v>326</v>
      </c>
      <c r="Z81" s="13">
        <f>'[2]Oct-Dec''25'!AB81+'[2]Apr-Sep''25'!AB81</f>
        <v>326</v>
      </c>
      <c r="AA81" s="8">
        <f t="shared" si="119"/>
        <v>1</v>
      </c>
      <c r="AB81" s="13">
        <f>'[2]Oct-Dec''25'!AD81+'[2]Apr-Sep''25'!AD81</f>
        <v>233</v>
      </c>
      <c r="AC81" s="13">
        <f>'[2]Oct-Dec''25'!AE81+'[2]Apr-Sep''25'!AE81</f>
        <v>209</v>
      </c>
      <c r="AD81" s="8">
        <f t="shared" si="120"/>
        <v>0.89699570815450647</v>
      </c>
      <c r="AE81" s="13">
        <f>'[2]Oct-Dec''25'!AJ81+'[2]Apr-Sep''25'!AJ81</f>
        <v>1138</v>
      </c>
      <c r="AF81" s="13">
        <f>'[2]Oct-Dec''25'!AK81+'[2]Apr-Sep''25'!AK81</f>
        <v>1021</v>
      </c>
      <c r="AG81" s="8">
        <f t="shared" si="121"/>
        <v>0.89718804920913886</v>
      </c>
      <c r="AH81" s="13">
        <f>'[2]Oct-Dec''25'!AM81+'[2]Apr-Sep''25'!AM81</f>
        <v>24</v>
      </c>
      <c r="AI81" s="13">
        <f>'[2]Oct-Dec''25'!AN81+'[2]Apr-Sep''25'!AN81</f>
        <v>20</v>
      </c>
      <c r="AJ81" s="8">
        <f t="shared" si="122"/>
        <v>0.83333333333333337</v>
      </c>
      <c r="AK81" s="13">
        <f>'[2]Oct-Dec''25'!AP81+'[2]Apr-Sep''25'!AP81</f>
        <v>95</v>
      </c>
      <c r="AL81" s="13">
        <f>'[2]Oct-Dec''25'!AQ81+'[2]Apr-Sep''25'!AQ81</f>
        <v>93</v>
      </c>
      <c r="AM81" s="8">
        <f t="shared" si="123"/>
        <v>0.97894736842105268</v>
      </c>
      <c r="AN81" s="13">
        <f>'[2]Oct-Dec''25'!AS81+'[2]Apr-Sep''25'!AS81</f>
        <v>43</v>
      </c>
      <c r="AO81" s="13">
        <f>'[2]Oct-Dec''25'!AT81+'[2]Apr-Sep''25'!AT81</f>
        <v>37</v>
      </c>
      <c r="AP81" s="8">
        <f t="shared" si="124"/>
        <v>0.86046511627906974</v>
      </c>
      <c r="AQ81" s="13">
        <f>'[2]Oct-Dec''25'!AV81+'[2]Apr-Sep''25'!AV81</f>
        <v>0</v>
      </c>
      <c r="AR81" s="13">
        <f>'[2]Oct-Dec''25'!AW81+'[2]Apr-Sep''25'!AW81</f>
        <v>0</v>
      </c>
      <c r="AS81" s="8" t="e">
        <f t="shared" si="125"/>
        <v>#DIV/0!</v>
      </c>
      <c r="AT81" s="13">
        <f>'[2]Oct-Dec''25'!AY81+'[2]Apr-Sep''25'!AY81</f>
        <v>66</v>
      </c>
      <c r="AU81" s="13">
        <f>'[2]Oct-Dec''25'!AZ81+'[2]Apr-Sep''25'!AZ81</f>
        <v>71</v>
      </c>
      <c r="AV81" s="8">
        <f t="shared" si="126"/>
        <v>1.0757575757575757</v>
      </c>
      <c r="AW81" s="9">
        <f t="shared" si="127"/>
        <v>109</v>
      </c>
      <c r="AX81" s="9">
        <f t="shared" si="128"/>
        <v>108</v>
      </c>
      <c r="AY81" s="8">
        <f t="shared" si="129"/>
        <v>0.99082568807339455</v>
      </c>
      <c r="AZ81" s="13">
        <f>'[2]Oct-Dec''25'!BB81+'[2]Apr-Sep''25'!BB81</f>
        <v>110</v>
      </c>
      <c r="BA81" s="13">
        <f>'[2]Oct-Dec''25'!BC81+'[2]Apr-Sep''25'!BC81</f>
        <v>138</v>
      </c>
      <c r="BB81" s="14">
        <f t="shared" si="130"/>
        <v>1.2545454545454546</v>
      </c>
      <c r="BC81" s="13">
        <f>'[2]Oct-Dec''25'!BE81+'[2]Apr-Sep''25'!BE81</f>
        <v>21</v>
      </c>
      <c r="BD81" s="13">
        <f>'[2]Oct-Dec''25'!BF81+'[2]Apr-Sep''25'!BF81</f>
        <v>21</v>
      </c>
      <c r="BE81" s="14">
        <f t="shared" si="131"/>
        <v>1</v>
      </c>
      <c r="BF81" s="13">
        <f>'[2]Oct-Dec''25'!BH81+'[2]Apr-Sep''25'!BH81</f>
        <v>24</v>
      </c>
      <c r="BG81" s="13">
        <f>'[2]Oct-Dec''25'!BI81+'[2]Apr-Sep''25'!BI81</f>
        <v>23</v>
      </c>
      <c r="BH81" s="14">
        <f t="shared" si="132"/>
        <v>0.95833333333333337</v>
      </c>
      <c r="BI81" s="13">
        <f>'[2]Oct-Dec''25'!BK81+'[2]Apr-Sep''25'!BK81</f>
        <v>23</v>
      </c>
      <c r="BJ81" s="13">
        <f>'[2]Oct-Dec''25'!BL81+'[2]Apr-Sep''25'!BL81</f>
        <v>24</v>
      </c>
      <c r="BK81" s="15">
        <f t="shared" si="133"/>
        <v>1.0434782608695652</v>
      </c>
      <c r="BL81" s="13">
        <f>'[2]Oct-Dec''25'!BN81+'[2]Apr-Sep''25'!BN81</f>
        <v>26</v>
      </c>
      <c r="BM81" s="13">
        <f>'[2]Oct-Dec''25'!BO81+'[2]Apr-Sep''25'!BO81</f>
        <v>26</v>
      </c>
      <c r="BN81" s="15">
        <f t="shared" si="134"/>
        <v>1</v>
      </c>
      <c r="BO81" s="13">
        <f>'[2]Oct-Dec''25'!BQ81+'[2]Apr-Sep''25'!BQ81</f>
        <v>20</v>
      </c>
      <c r="BP81" s="13">
        <f>'[2]Oct-Dec''25'!BR81+'[2]Apr-Sep''25'!BR81</f>
        <v>18</v>
      </c>
      <c r="BQ81" s="15">
        <f t="shared" si="135"/>
        <v>0.9</v>
      </c>
      <c r="BR81" s="13">
        <f>'[2]Oct-Dec''25'!BT81+'[2]Apr-Sep''25'!BT81</f>
        <v>33</v>
      </c>
      <c r="BS81" s="13">
        <f>'[2]Oct-Dec''25'!BU81+'[2]Apr-Sep''25'!BU81</f>
        <v>32</v>
      </c>
      <c r="BT81" s="14">
        <f t="shared" si="136"/>
        <v>0.96969696969696972</v>
      </c>
      <c r="BU81" s="13">
        <f>'[2]Oct-Dec''25'!BW81+'[2]Apr-Sep''25'!BW81</f>
        <v>0</v>
      </c>
      <c r="BV81" s="13">
        <f>'[2]Oct-Dec''25'!BX81+'[2]Apr-Sep''25'!BX81</f>
        <v>0</v>
      </c>
      <c r="BW81" s="14">
        <f t="shared" si="137"/>
        <v>0</v>
      </c>
      <c r="BX81" s="13">
        <f>'[2]Oct-Dec''25'!BZ81+'[2]Apr-Sep''25'!BZ81</f>
        <v>500</v>
      </c>
      <c r="BY81" s="13">
        <f>'[2]Oct-Dec''25'!CA81+'[2]Apr-Sep''25'!CA81</f>
        <v>500</v>
      </c>
      <c r="BZ81" s="14">
        <f t="shared" si="138"/>
        <v>1</v>
      </c>
      <c r="CA81" s="13">
        <f>'[2]Oct-Dec''25'!CC81+'[2]Apr-Sep''25'!CC81</f>
        <v>498</v>
      </c>
      <c r="CB81" s="13">
        <f>'[2]Oct-Dec''25'!CD81+'[2]Apr-Sep''25'!CD81</f>
        <v>543</v>
      </c>
      <c r="CC81" s="14">
        <f t="shared" si="139"/>
        <v>1.0903614457831325</v>
      </c>
      <c r="CD81" s="13">
        <f>'[2]Oct-Dec''25'!CF81+'[2]Apr-Sep''25'!CF81</f>
        <v>185</v>
      </c>
      <c r="CE81" s="13">
        <f>'[2]Oct-Dec''25'!CG81+'[2]Apr-Sep''25'!CG81</f>
        <v>185</v>
      </c>
      <c r="CF81" s="14">
        <f t="shared" si="140"/>
        <v>1</v>
      </c>
    </row>
    <row r="82" spans="1:84" x14ac:dyDescent="0.25">
      <c r="A82" s="12">
        <f>'[2]Oct-Dec''25'!A82</f>
        <v>76</v>
      </c>
      <c r="B82" s="12" t="str">
        <f>'[2]Oct-Dec''25'!B82</f>
        <v>CHRI</v>
      </c>
      <c r="C82" s="1" t="str">
        <f>'[2]Oct-Dec''25'!C82</f>
        <v>WEST BENGAL</v>
      </c>
      <c r="D82" s="3" t="str">
        <f>'[2]Oct-Dec''25'!D82</f>
        <v>KOLKATA RISTA-MNP+</v>
      </c>
      <c r="E82" s="1" t="str">
        <f>'[2]Oct-Dec''25'!E82</f>
        <v>MALDA</v>
      </c>
      <c r="F82" s="12" t="s">
        <v>85</v>
      </c>
      <c r="G82" s="13">
        <f>'[2]Oct-Dec''25'!H82+'[2]Apr-Sep''25'!H82</f>
        <v>141</v>
      </c>
      <c r="H82" s="13">
        <f>'[2]Oct-Dec''25'!I82+'[2]Apr-Sep''25'!I82</f>
        <v>1335</v>
      </c>
      <c r="I82" s="7">
        <f t="shared" si="114"/>
        <v>9.4680851063829792</v>
      </c>
      <c r="J82" s="13">
        <f>'[2]Oct-Dec''25'!K82+'[2]Apr-Sep''25'!K82</f>
        <v>0</v>
      </c>
      <c r="K82" s="13">
        <f>'[2]Oct-Dec''25'!L82+'[2]Apr-Sep''25'!L82</f>
        <v>0</v>
      </c>
      <c r="L82" s="7"/>
      <c r="M82" s="13">
        <f>'[2]Oct-Dec''25'!N82+'[2]Apr-Sep''25'!N82</f>
        <v>166</v>
      </c>
      <c r="N82" s="13">
        <f>'[2]Oct-Dec''25'!O82+'[2]Apr-Sep''25'!O82</f>
        <v>166</v>
      </c>
      <c r="O82" s="8">
        <f t="shared" si="115"/>
        <v>1</v>
      </c>
      <c r="P82" s="13">
        <f>'[2]Oct-Dec''25'!Q82+'[2]Apr-Sep''25'!Q82</f>
        <v>136</v>
      </c>
      <c r="Q82" s="13">
        <f>'[2]Oct-Dec''25'!R82+'[2]Apr-Sep''25'!R82</f>
        <v>113</v>
      </c>
      <c r="R82" s="8">
        <f t="shared" si="116"/>
        <v>0.83088235294117652</v>
      </c>
      <c r="S82" s="13">
        <f>'[2]Oct-Dec''25'!T82+'[2]Apr-Sep''25'!T82</f>
        <v>1201</v>
      </c>
      <c r="T82" s="13">
        <f>'[2]Oct-Dec''25'!U82+'[2]Apr-Sep''25'!U82</f>
        <v>1036</v>
      </c>
      <c r="U82" s="8">
        <f t="shared" si="117"/>
        <v>0.86261448792672768</v>
      </c>
      <c r="V82" s="13">
        <f>'[2]Oct-Dec''25'!W82+'[2]Apr-Sep''25'!W82</f>
        <v>172</v>
      </c>
      <c r="W82" s="13">
        <f>'[2]Oct-Dec''25'!Y82+'[2]Apr-Sep''25'!Y82</f>
        <v>140</v>
      </c>
      <c r="X82" s="8">
        <f t="shared" si="118"/>
        <v>0.81395348837209303</v>
      </c>
      <c r="Y82" s="13">
        <f>'[2]Oct-Dec''25'!AA82+'[2]Apr-Sep''25'!AA82</f>
        <v>91</v>
      </c>
      <c r="Z82" s="13">
        <f>'[2]Oct-Dec''25'!AB82+'[2]Apr-Sep''25'!AB82</f>
        <v>91</v>
      </c>
      <c r="AA82" s="8">
        <f t="shared" si="119"/>
        <v>1</v>
      </c>
      <c r="AB82" s="13">
        <f>'[2]Oct-Dec''25'!AD82+'[2]Apr-Sep''25'!AD82</f>
        <v>126</v>
      </c>
      <c r="AC82" s="13">
        <f>'[2]Oct-Dec''25'!AE82+'[2]Apr-Sep''25'!AE82</f>
        <v>109</v>
      </c>
      <c r="AD82" s="8">
        <f t="shared" si="120"/>
        <v>0.86507936507936511</v>
      </c>
      <c r="AE82" s="13">
        <f>'[2]Oct-Dec''25'!AJ82+'[2]Apr-Sep''25'!AJ82</f>
        <v>316</v>
      </c>
      <c r="AF82" s="13">
        <f>'[2]Oct-Dec''25'!AK82+'[2]Apr-Sep''25'!AK82</f>
        <v>298</v>
      </c>
      <c r="AG82" s="8">
        <f t="shared" si="121"/>
        <v>0.94303797468354433</v>
      </c>
      <c r="AH82" s="13">
        <f>'[2]Oct-Dec''25'!AM82+'[2]Apr-Sep''25'!AM82</f>
        <v>0</v>
      </c>
      <c r="AI82" s="13">
        <f>'[2]Oct-Dec''25'!AN82+'[2]Apr-Sep''25'!AN82</f>
        <v>0</v>
      </c>
      <c r="AJ82" s="8" t="e">
        <f t="shared" si="122"/>
        <v>#DIV/0!</v>
      </c>
      <c r="AK82" s="13">
        <f>'[2]Oct-Dec''25'!AP82+'[2]Apr-Sep''25'!AP82</f>
        <v>19</v>
      </c>
      <c r="AL82" s="13">
        <f>'[2]Oct-Dec''25'!AQ82+'[2]Apr-Sep''25'!AQ82</f>
        <v>9</v>
      </c>
      <c r="AM82" s="8">
        <f t="shared" si="123"/>
        <v>0.47368421052631576</v>
      </c>
      <c r="AN82" s="13">
        <f>'[2]Oct-Dec''25'!AS82+'[2]Apr-Sep''25'!AS82</f>
        <v>21</v>
      </c>
      <c r="AO82" s="13">
        <f>'[2]Oct-Dec''25'!AT82+'[2]Apr-Sep''25'!AT82</f>
        <v>20</v>
      </c>
      <c r="AP82" s="8">
        <f t="shared" si="124"/>
        <v>0.95238095238095233</v>
      </c>
      <c r="AQ82" s="13">
        <f>'[2]Oct-Dec''25'!AV82+'[2]Apr-Sep''25'!AV82</f>
        <v>0</v>
      </c>
      <c r="AR82" s="13">
        <f>'[2]Oct-Dec''25'!AW82+'[2]Apr-Sep''25'!AW82</f>
        <v>0</v>
      </c>
      <c r="AS82" s="8" t="e">
        <f t="shared" si="125"/>
        <v>#DIV/0!</v>
      </c>
      <c r="AT82" s="13">
        <f>'[2]Oct-Dec''25'!AY82+'[2]Apr-Sep''25'!AY82</f>
        <v>12</v>
      </c>
      <c r="AU82" s="13">
        <f>'[2]Oct-Dec''25'!AZ82+'[2]Apr-Sep''25'!AZ82</f>
        <v>12</v>
      </c>
      <c r="AV82" s="8">
        <f t="shared" si="126"/>
        <v>1</v>
      </c>
      <c r="AW82" s="9">
        <f t="shared" si="127"/>
        <v>33</v>
      </c>
      <c r="AX82" s="9">
        <f t="shared" si="128"/>
        <v>32</v>
      </c>
      <c r="AY82" s="8">
        <f t="shared" si="129"/>
        <v>0.96969696969696972</v>
      </c>
      <c r="AZ82" s="13">
        <f>'[2]Oct-Dec''25'!BB82+'[2]Apr-Sep''25'!BB82</f>
        <v>28</v>
      </c>
      <c r="BA82" s="13">
        <f>'[2]Oct-Dec''25'!BC82+'[2]Apr-Sep''25'!BC82</f>
        <v>28</v>
      </c>
      <c r="BB82" s="14">
        <f t="shared" si="130"/>
        <v>1</v>
      </c>
      <c r="BC82" s="13">
        <f>'[2]Oct-Dec''25'!BE82+'[2]Apr-Sep''25'!BE82</f>
        <v>0</v>
      </c>
      <c r="BD82" s="13">
        <f>'[2]Oct-Dec''25'!BF82+'[2]Apr-Sep''25'!BF82</f>
        <v>0</v>
      </c>
      <c r="BE82" s="14">
        <f t="shared" si="131"/>
        <v>0</v>
      </c>
      <c r="BF82" s="13">
        <f>'[2]Oct-Dec''25'!BH82+'[2]Apr-Sep''25'!BH82</f>
        <v>15</v>
      </c>
      <c r="BG82" s="13">
        <f>'[2]Oct-Dec''25'!BI82+'[2]Apr-Sep''25'!BI82</f>
        <v>14</v>
      </c>
      <c r="BH82" s="14">
        <f t="shared" si="132"/>
        <v>0.93333333333333335</v>
      </c>
      <c r="BI82" s="13">
        <f>'[2]Oct-Dec''25'!BK82+'[2]Apr-Sep''25'!BK82</f>
        <v>11</v>
      </c>
      <c r="BJ82" s="13">
        <f>'[2]Oct-Dec''25'!BL82+'[2]Apr-Sep''25'!BL82</f>
        <v>11</v>
      </c>
      <c r="BK82" s="15">
        <f t="shared" si="133"/>
        <v>1</v>
      </c>
      <c r="BL82" s="13">
        <f>'[2]Oct-Dec''25'!BN82+'[2]Apr-Sep''25'!BN82</f>
        <v>21</v>
      </c>
      <c r="BM82" s="13">
        <f>'[2]Oct-Dec''25'!BO82+'[2]Apr-Sep''25'!BO82</f>
        <v>20</v>
      </c>
      <c r="BN82" s="15">
        <f t="shared" si="134"/>
        <v>0.95238095238095233</v>
      </c>
      <c r="BO82" s="13">
        <f>'[2]Oct-Dec''25'!BQ82+'[2]Apr-Sep''25'!BQ82</f>
        <v>18</v>
      </c>
      <c r="BP82" s="13">
        <f>'[2]Oct-Dec''25'!BR82+'[2]Apr-Sep''25'!BR82</f>
        <v>17</v>
      </c>
      <c r="BQ82" s="15">
        <f t="shared" si="135"/>
        <v>0.94444444444444442</v>
      </c>
      <c r="BR82" s="13">
        <f>'[2]Oct-Dec''25'!BT82+'[2]Apr-Sep''25'!BT82</f>
        <v>18</v>
      </c>
      <c r="BS82" s="13">
        <f>'[2]Oct-Dec''25'!BU82+'[2]Apr-Sep''25'!BU82</f>
        <v>17</v>
      </c>
      <c r="BT82" s="14">
        <f t="shared" si="136"/>
        <v>0.94444444444444442</v>
      </c>
      <c r="BU82" s="13">
        <f>'[2]Oct-Dec''25'!BW82+'[2]Apr-Sep''25'!BW82</f>
        <v>2</v>
      </c>
      <c r="BV82" s="13">
        <f>'[2]Oct-Dec''25'!BX82+'[2]Apr-Sep''25'!BX82</f>
        <v>2</v>
      </c>
      <c r="BW82" s="14">
        <f t="shared" si="137"/>
        <v>1</v>
      </c>
      <c r="BX82" s="13">
        <f>'[2]Oct-Dec''25'!BZ82+'[2]Apr-Sep''25'!BZ82</f>
        <v>1335</v>
      </c>
      <c r="BY82" s="13">
        <f>'[2]Oct-Dec''25'!CA82+'[2]Apr-Sep''25'!CA82</f>
        <v>1338</v>
      </c>
      <c r="BZ82" s="14">
        <f t="shared" si="138"/>
        <v>1.002247191011236</v>
      </c>
      <c r="CA82" s="13">
        <f>'[2]Oct-Dec''25'!CC82+'[2]Apr-Sep''25'!CC82</f>
        <v>12</v>
      </c>
      <c r="CB82" s="13">
        <f>'[2]Oct-Dec''25'!CD82+'[2]Apr-Sep''25'!CD82</f>
        <v>12</v>
      </c>
      <c r="CC82" s="14">
        <f t="shared" si="139"/>
        <v>1</v>
      </c>
      <c r="CD82" s="13">
        <f>'[2]Oct-Dec''25'!CF82+'[2]Apr-Sep''25'!CF82</f>
        <v>0</v>
      </c>
      <c r="CE82" s="13">
        <f>'[2]Oct-Dec''25'!CG82+'[2]Apr-Sep''25'!CG82</f>
        <v>0</v>
      </c>
      <c r="CF82" s="14">
        <f t="shared" si="140"/>
        <v>0</v>
      </c>
    </row>
    <row r="83" spans="1:84" x14ac:dyDescent="0.25">
      <c r="AV83" s="19"/>
      <c r="AW83" s="19"/>
      <c r="AX83" s="19"/>
      <c r="AY83" s="19"/>
    </row>
  </sheetData>
  <mergeCells count="25">
    <mergeCell ref="CA1:CC1"/>
    <mergeCell ref="CD1:CF1"/>
    <mergeCell ref="AZ1:BB1"/>
    <mergeCell ref="BC1:BE1"/>
    <mergeCell ref="BF1:BH1"/>
    <mergeCell ref="BI1:BT1"/>
    <mergeCell ref="BU1:BW1"/>
    <mergeCell ref="BX1:BZ1"/>
    <mergeCell ref="AB1:AD1"/>
    <mergeCell ref="AE1:AG1"/>
    <mergeCell ref="AH1:AJ1"/>
    <mergeCell ref="AK1:AM1"/>
    <mergeCell ref="AN1:AV1"/>
    <mergeCell ref="Y1:AA1"/>
    <mergeCell ref="A1:A2"/>
    <mergeCell ref="B1:B2"/>
    <mergeCell ref="C1:C2"/>
    <mergeCell ref="D1:D2"/>
    <mergeCell ref="E1:E2"/>
    <mergeCell ref="F1:F2"/>
    <mergeCell ref="G1:I1"/>
    <mergeCell ref="J1:L1"/>
    <mergeCell ref="M1:R1"/>
    <mergeCell ref="S1:U1"/>
    <mergeCell ref="V1:X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Apr-Nov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</dc:creator>
  <cp:lastModifiedBy>User</cp:lastModifiedBy>
  <dcterms:created xsi:type="dcterms:W3CDTF">2025-12-27T17:22:09Z</dcterms:created>
  <dcterms:modified xsi:type="dcterms:W3CDTF">2026-01-06T11:38:52Z</dcterms:modified>
</cp:coreProperties>
</file>